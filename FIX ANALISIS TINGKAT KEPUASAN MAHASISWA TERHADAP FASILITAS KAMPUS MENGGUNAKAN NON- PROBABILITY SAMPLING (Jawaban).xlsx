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174B49-37DC-4F86-BD9D-93B380CC32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Mentah" sheetId="1" r:id="rId1"/>
    <sheet name="DATA OLAH 1" sheetId="4" r:id="rId2"/>
    <sheet name="DATA OLAH 2" sheetId="2" r:id="rId3"/>
  </sheets>
  <definedNames>
    <definedName name="_xlnm._FilterDatabase" localSheetId="0" hidden="1">'Data Mentah'!$A$1:$P$37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2" l="1"/>
  <c r="J34" i="2"/>
  <c r="I34" i="2"/>
  <c r="H34" i="2"/>
  <c r="G34" i="2"/>
  <c r="F34" i="2"/>
  <c r="E34" i="2"/>
  <c r="D34" i="2"/>
  <c r="C34" i="2"/>
  <c r="B34" i="2"/>
  <c r="AC4" i="2"/>
  <c r="AC3" i="2"/>
  <c r="AB4" i="2"/>
  <c r="AD4" i="2" s="1"/>
  <c r="Z5" i="2"/>
  <c r="AB3" i="2" s="1"/>
  <c r="AD3" i="2" s="1"/>
  <c r="AA5" i="2"/>
  <c r="L2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4" i="2"/>
  <c r="L3" i="2"/>
  <c r="L2" i="2"/>
</calcChain>
</file>

<file path=xl/sharedStrings.xml><?xml version="1.0" encoding="utf-8"?>
<sst xmlns="http://schemas.openxmlformats.org/spreadsheetml/2006/main" count="324" uniqueCount="85">
  <si>
    <t>Timestamp</t>
  </si>
  <si>
    <t>Nama Responden</t>
  </si>
  <si>
    <t>Jenis Kelamin</t>
  </si>
  <si>
    <t>Fakultas</t>
  </si>
  <si>
    <t>Program Studi</t>
  </si>
  <si>
    <t>Semester</t>
  </si>
  <si>
    <t>Ruang kelas mendukung kenyamanan proses belajar mengajar</t>
  </si>
  <si>
    <t>Kebersihan lingkungan universitas terjaga dengan baik</t>
  </si>
  <si>
    <t>Fasilitas toilet di lingkungan universitas dalam kondisi bersih dan layak digunakan</t>
  </si>
  <si>
    <t>Ketersediaan jaringan internet/WiFi dilingkungan universitas mendukung kegiatan akademik mahasiswa dengan lancar</t>
  </si>
  <si>
    <t>Fasilitas perpustakaan di universitas mampu memenuhi kebutuhan belajar mahasiswa</t>
  </si>
  <si>
    <t xml:space="preserve">Area parkir dilingkungan universitas cukup memadai bagi mahasiswa </t>
  </si>
  <si>
    <t>Sarana dan prasarana universitas mendukung kegiatan perkuliahan</t>
  </si>
  <si>
    <t xml:space="preserve">Saya merasa puas terhadap sarana dan prasarana yang telah disediakan </t>
  </si>
  <si>
    <t>Sarana dan prasarana di universitas membantu kegiatan belajar saya</t>
  </si>
  <si>
    <t>Secara keseluruhan sarana dan prasarana di universitas telah memenuhi kebutuhan mahasiswa</t>
  </si>
  <si>
    <t xml:space="preserve">Cokorde Putri Diana Dewi A </t>
  </si>
  <si>
    <t>Perempuan</t>
  </si>
  <si>
    <t>MIPA</t>
  </si>
  <si>
    <t xml:space="preserve">Statistika </t>
  </si>
  <si>
    <t xml:space="preserve">Tika aulia </t>
  </si>
  <si>
    <t xml:space="preserve">Mipa </t>
  </si>
  <si>
    <t>Dwi Kurnia Rahmatullah</t>
  </si>
  <si>
    <t>FMIPA</t>
  </si>
  <si>
    <t>Statistika</t>
  </si>
  <si>
    <t>Hadyan Azyadi</t>
  </si>
  <si>
    <t>Laki - laki</t>
  </si>
  <si>
    <t xml:space="preserve">Layudza Stefana Kanza </t>
  </si>
  <si>
    <t>Aurelia Shylvie</t>
  </si>
  <si>
    <t>Ariantinne Mutiara Tazkya</t>
  </si>
  <si>
    <t xml:space="preserve">statistika </t>
  </si>
  <si>
    <t>Dinul Rahman</t>
  </si>
  <si>
    <t>Kedokteran dan Ilmu Kesehatan</t>
  </si>
  <si>
    <t>Kedokteran</t>
  </si>
  <si>
    <t>DIMAS SETIAWAN</t>
  </si>
  <si>
    <t>STATISTIKA</t>
  </si>
  <si>
    <t xml:space="preserve">Kevin Farras Dwitama </t>
  </si>
  <si>
    <t>Teknik</t>
  </si>
  <si>
    <t xml:space="preserve">Industri </t>
  </si>
  <si>
    <t>Vena Asmarinda</t>
  </si>
  <si>
    <t>Fakultas Ilmu Pengetahuan Alam dan Matematika</t>
  </si>
  <si>
    <t>Ni putu suci utami</t>
  </si>
  <si>
    <t>I Komang Yudha Suputra AK</t>
  </si>
  <si>
    <t>Rohizal Fiqri</t>
  </si>
  <si>
    <t>Matematika dan Ilmu Pengetahuan Alam</t>
  </si>
  <si>
    <t>Aryo Caesar Tri Kumboyo</t>
  </si>
  <si>
    <t>S1 Statistika</t>
  </si>
  <si>
    <t>Jurniati</t>
  </si>
  <si>
    <t xml:space="preserve">Rahman zikri </t>
  </si>
  <si>
    <t xml:space="preserve">Teknik </t>
  </si>
  <si>
    <t xml:space="preserve">Sipil </t>
  </si>
  <si>
    <t>Hilwa Dea Cendra Hearty</t>
  </si>
  <si>
    <t>Nabil Sengaji</t>
  </si>
  <si>
    <t xml:space="preserve">MIPA </t>
  </si>
  <si>
    <t>Ni Putu Adelina Devani M</t>
  </si>
  <si>
    <t>Nicori Restu Wardah</t>
  </si>
  <si>
    <t>Era Fazira</t>
  </si>
  <si>
    <t xml:space="preserve">Amelia Dewi Sartika </t>
  </si>
  <si>
    <t xml:space="preserve">FMIPA </t>
  </si>
  <si>
    <t>Natasya Ainun Najwa</t>
  </si>
  <si>
    <t>I gusti bagus krisna deipayana</t>
  </si>
  <si>
    <t>Feb</t>
  </si>
  <si>
    <t>Pariwisata</t>
  </si>
  <si>
    <t>Laula faokana</t>
  </si>
  <si>
    <t>statistika</t>
  </si>
  <si>
    <t xml:space="preserve">Zahra Aurelia Ansyani </t>
  </si>
  <si>
    <t>aura alifa nabila syah</t>
  </si>
  <si>
    <t xml:space="preserve">Afifah Nayratus Sofia </t>
  </si>
  <si>
    <t xml:space="preserve">Matematika dan Ilmu Pengetahuan Alam </t>
  </si>
  <si>
    <t>Al</t>
  </si>
  <si>
    <t xml:space="preserve">Hawariyyin </t>
  </si>
  <si>
    <t>Intan Risma Yanti</t>
  </si>
  <si>
    <t>Meylisa Azzahra</t>
  </si>
  <si>
    <t>Elaini Putri Rafsa</t>
  </si>
  <si>
    <t>yani ofa salika</t>
  </si>
  <si>
    <t>fmipa</t>
  </si>
  <si>
    <t>NAJWA FATTIWARA. SF</t>
  </si>
  <si>
    <t>Total</t>
  </si>
  <si>
    <t>Populasi</t>
  </si>
  <si>
    <t>Sampel</t>
  </si>
  <si>
    <t>Proporsi Populasi</t>
  </si>
  <si>
    <t>Proporsi Sampel</t>
  </si>
  <si>
    <t>Weight</t>
  </si>
  <si>
    <t xml:space="preserve">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</si>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</sst>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5B3F86"/>
      </patternFill>
    </fill>
    <fill>
      <patternFill patternType="solid">
        <fgColor theme="0"/>
        <bgColor indexed="64"/>
      </patternFill>
    </fill>
    <fill>
      <patternFill patternType="solid">
        <fgColor rgb="FF5B3F86"/>
        <bgColor rgb="FF5B3F8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0" fillId="6" borderId="0" xfId="0" applyFill="1"/>
    <xf numFmtId="0" fontId="1" fillId="2" borderId="2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7">
  <autoFilter ref="A1:P37" xr:uid="{00000000-0009-0000-0100-000001000000}">
    <filterColumn colId="3">
      <filters>
        <filter val="Fakultas Ilmu Pengetahuan Alam dan Matematika"/>
        <filter val="FMIPA"/>
        <filter val="Matematika dan Ilmu Pengetahuan Alam"/>
        <filter val="MIPA"/>
      </filters>
    </filterColumn>
  </autoFilter>
  <tableColumns count="16">
    <tableColumn id="1" xr3:uid="{00000000-0010-0000-0000-000001000000}" name="Timestamp"/>
    <tableColumn id="2" xr3:uid="{00000000-0010-0000-0000-000002000000}" name="Nama Responden"/>
    <tableColumn id="3" xr3:uid="{00000000-0010-0000-0000-000003000000}" name="Jenis Kelamin"/>
    <tableColumn id="4" xr3:uid="{00000000-0010-0000-0000-000004000000}" name="Fakultas"/>
    <tableColumn id="5" xr3:uid="{00000000-0010-0000-0000-000005000000}" name="Program Studi"/>
    <tableColumn id="6" xr3:uid="{00000000-0010-0000-0000-000006000000}" name="Semester"/>
    <tableColumn id="7" xr3:uid="{00000000-0010-0000-0000-000007000000}" name="Ruang kelas mendukung kenyamanan proses belajar mengajar"/>
    <tableColumn id="8" xr3:uid="{00000000-0010-0000-0000-000008000000}" name="Kebersihan lingkungan universitas terjaga dengan baik"/>
    <tableColumn id="9" xr3:uid="{00000000-0010-0000-0000-000009000000}" name="Fasilitas toilet di lingkungan universitas dalam kondisi bersih dan layak digunakan"/>
    <tableColumn id="10" xr3:uid="{00000000-0010-0000-0000-00000A000000}" name="Ketersediaan jaringan internet/WiFi dilingkungan universitas mendukung kegiatan akademik mahasiswa dengan lancar"/>
    <tableColumn id="11" xr3:uid="{00000000-0010-0000-0000-00000B000000}" name="Fasilitas perpustakaan di universitas mampu memenuhi kebutuhan belajar mahasiswa"/>
    <tableColumn id="12" xr3:uid="{00000000-0010-0000-0000-00000C000000}" name="Area parkir dilingkungan universitas cukup memadai bagi mahasiswa "/>
    <tableColumn id="13" xr3:uid="{00000000-0010-0000-0000-00000D000000}" name="Sarana dan prasarana universitas mendukung kegiatan perkuliahan"/>
    <tableColumn id="14" xr3:uid="{00000000-0010-0000-0000-00000E000000}" name="Saya merasa puas terhadap sarana dan prasarana yang telah disediakan "/>
    <tableColumn id="15" xr3:uid="{00000000-0010-0000-0000-00000F000000}" name="Sarana dan prasarana di universitas membantu kegiatan belajar saya"/>
    <tableColumn id="16" xr3:uid="{00000000-0010-0000-0000-000010000000}" name="Secara keseluruhan sarana dan prasarana di universitas telah memenuhi kebutuhan mahasisw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7"/>
  <sheetViews>
    <sheetView topLeftCell="L1" workbookViewId="0">
      <pane ySplit="1" topLeftCell="A19" activePane="bottomLeft" state="frozen"/>
      <selection pane="bottomLeft" activeCell="G1" sqref="G1:P37"/>
    </sheetView>
  </sheetViews>
  <sheetFormatPr defaultColWidth="12.7109375" defaultRowHeight="15.75" customHeight="1" x14ac:dyDescent="0.2"/>
  <cols>
    <col min="1" max="1" width="18.85546875" customWidth="1"/>
    <col min="2" max="2" width="32.140625" customWidth="1"/>
    <col min="3" max="6" width="18.85546875" customWidth="1"/>
    <col min="7" max="16" width="37.7109375" customWidth="1"/>
    <col min="17" max="22" width="18.85546875" customWidth="1"/>
  </cols>
  <sheetData>
    <row r="1" spans="1:1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">
      <c r="A2" s="2">
        <v>46155.520527523149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4</v>
      </c>
      <c r="G2" s="3">
        <v>4</v>
      </c>
      <c r="H2" s="3">
        <v>4</v>
      </c>
      <c r="I2" s="3">
        <v>3</v>
      </c>
      <c r="J2" s="3">
        <v>3</v>
      </c>
      <c r="K2" s="3">
        <v>4</v>
      </c>
      <c r="L2" s="3">
        <v>4</v>
      </c>
      <c r="M2" s="3">
        <v>4</v>
      </c>
      <c r="N2" s="3">
        <v>3</v>
      </c>
      <c r="O2" s="3">
        <v>4</v>
      </c>
      <c r="P2" s="3">
        <v>3</v>
      </c>
    </row>
    <row r="3" spans="1:16" ht="22.5" customHeight="1" x14ac:dyDescent="0.2">
      <c r="A3" s="2">
        <v>46155.530241944449</v>
      </c>
      <c r="B3" s="3" t="s">
        <v>20</v>
      </c>
      <c r="C3" s="3" t="s">
        <v>17</v>
      </c>
      <c r="D3" s="3" t="s">
        <v>21</v>
      </c>
      <c r="E3" s="3" t="s">
        <v>19</v>
      </c>
      <c r="F3" s="3">
        <v>4</v>
      </c>
      <c r="G3" s="3">
        <v>4</v>
      </c>
      <c r="H3" s="3">
        <v>5</v>
      </c>
      <c r="I3" s="3">
        <v>5</v>
      </c>
      <c r="J3" s="3">
        <v>3</v>
      </c>
      <c r="K3" s="3">
        <v>5</v>
      </c>
      <c r="L3" s="3">
        <v>3</v>
      </c>
      <c r="M3" s="3">
        <v>4</v>
      </c>
      <c r="N3" s="3">
        <v>4</v>
      </c>
      <c r="O3" s="3">
        <v>4</v>
      </c>
      <c r="P3" s="3">
        <v>4</v>
      </c>
    </row>
    <row r="4" spans="1:16" ht="22.5" customHeight="1" x14ac:dyDescent="0.2">
      <c r="A4" s="2">
        <v>46155.539149780088</v>
      </c>
      <c r="B4" s="3" t="s">
        <v>22</v>
      </c>
      <c r="C4" s="3" t="s">
        <v>17</v>
      </c>
      <c r="D4" s="3" t="s">
        <v>23</v>
      </c>
      <c r="E4" s="3" t="s">
        <v>24</v>
      </c>
      <c r="F4" s="3">
        <v>2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3</v>
      </c>
      <c r="M4" s="3">
        <v>5</v>
      </c>
      <c r="N4" s="3">
        <v>4</v>
      </c>
      <c r="O4" s="3">
        <v>5</v>
      </c>
      <c r="P4" s="3">
        <v>4</v>
      </c>
    </row>
    <row r="5" spans="1:16" ht="22.5" customHeight="1" x14ac:dyDescent="0.2">
      <c r="A5" s="2">
        <v>46155.540695370371</v>
      </c>
      <c r="B5" s="3" t="s">
        <v>25</v>
      </c>
      <c r="C5" s="3" t="s">
        <v>26</v>
      </c>
      <c r="D5" s="3" t="s">
        <v>18</v>
      </c>
      <c r="E5" s="3" t="s">
        <v>24</v>
      </c>
      <c r="F5" s="3">
        <v>2</v>
      </c>
      <c r="G5" s="3">
        <v>5</v>
      </c>
      <c r="H5" s="3">
        <v>4</v>
      </c>
      <c r="I5" s="3">
        <v>3</v>
      </c>
      <c r="J5" s="3">
        <v>5</v>
      </c>
      <c r="K5" s="3">
        <v>4</v>
      </c>
      <c r="L5" s="3">
        <v>4</v>
      </c>
      <c r="M5" s="3">
        <v>5</v>
      </c>
      <c r="N5" s="3">
        <v>5</v>
      </c>
      <c r="O5" s="3">
        <v>5</v>
      </c>
      <c r="P5" s="3">
        <v>5</v>
      </c>
    </row>
    <row r="6" spans="1:16" ht="22.5" customHeight="1" x14ac:dyDescent="0.2">
      <c r="A6" s="2">
        <v>46155.546329953708</v>
      </c>
      <c r="B6" s="3" t="s">
        <v>27</v>
      </c>
      <c r="C6" s="3" t="s">
        <v>17</v>
      </c>
      <c r="D6" s="3" t="s">
        <v>18</v>
      </c>
      <c r="E6" s="3" t="s">
        <v>19</v>
      </c>
      <c r="F6" s="3">
        <v>4</v>
      </c>
      <c r="G6" s="3">
        <v>3</v>
      </c>
      <c r="H6" s="3">
        <v>4</v>
      </c>
      <c r="I6" s="3">
        <v>5</v>
      </c>
      <c r="J6" s="3">
        <v>5</v>
      </c>
      <c r="K6" s="3">
        <v>4</v>
      </c>
      <c r="L6" s="3">
        <v>2</v>
      </c>
      <c r="M6" s="3">
        <v>4</v>
      </c>
      <c r="N6" s="3">
        <v>4</v>
      </c>
      <c r="O6" s="3">
        <v>5</v>
      </c>
      <c r="P6" s="3">
        <v>5</v>
      </c>
    </row>
    <row r="7" spans="1:16" ht="22.5" customHeight="1" x14ac:dyDescent="0.2">
      <c r="A7" s="2">
        <v>46155.556342453703</v>
      </c>
      <c r="B7" s="3" t="s">
        <v>28</v>
      </c>
      <c r="C7" s="3" t="s">
        <v>17</v>
      </c>
      <c r="D7" s="3" t="s">
        <v>18</v>
      </c>
      <c r="E7" s="3" t="s">
        <v>19</v>
      </c>
      <c r="F7" s="3">
        <v>2</v>
      </c>
      <c r="G7" s="3">
        <v>3</v>
      </c>
      <c r="H7" s="3">
        <v>3</v>
      </c>
      <c r="I7" s="3">
        <v>1</v>
      </c>
      <c r="J7" s="3">
        <v>3</v>
      </c>
      <c r="K7" s="3">
        <v>4</v>
      </c>
      <c r="L7" s="3">
        <v>2</v>
      </c>
      <c r="M7" s="3">
        <v>3</v>
      </c>
      <c r="N7" s="3">
        <v>3</v>
      </c>
      <c r="O7" s="3">
        <v>3</v>
      </c>
      <c r="P7" s="3">
        <v>3</v>
      </c>
    </row>
    <row r="8" spans="1:16" ht="22.5" customHeight="1" x14ac:dyDescent="0.2">
      <c r="A8" s="2">
        <v>46155.571675127314</v>
      </c>
      <c r="B8" s="3" t="s">
        <v>29</v>
      </c>
      <c r="C8" s="3" t="s">
        <v>17</v>
      </c>
      <c r="D8" s="3" t="s">
        <v>23</v>
      </c>
      <c r="E8" s="3" t="s">
        <v>30</v>
      </c>
      <c r="F8" s="3">
        <v>4</v>
      </c>
      <c r="G8" s="3">
        <v>3</v>
      </c>
      <c r="H8" s="3">
        <v>4</v>
      </c>
      <c r="I8" s="3">
        <v>3</v>
      </c>
      <c r="J8" s="3">
        <v>3</v>
      </c>
      <c r="K8" s="3">
        <v>4</v>
      </c>
      <c r="L8" s="3">
        <v>3</v>
      </c>
      <c r="M8" s="3">
        <v>3</v>
      </c>
      <c r="N8" s="3">
        <v>3</v>
      </c>
      <c r="O8" s="3">
        <v>3</v>
      </c>
      <c r="P8" s="3">
        <v>3</v>
      </c>
    </row>
    <row r="9" spans="1:16" ht="22.5" hidden="1" customHeight="1" x14ac:dyDescent="0.2">
      <c r="A9" s="2">
        <v>46155.579499965279</v>
      </c>
      <c r="B9" s="3" t="s">
        <v>31</v>
      </c>
      <c r="C9" s="3" t="s">
        <v>26</v>
      </c>
      <c r="D9" s="3" t="s">
        <v>32</v>
      </c>
      <c r="E9" s="3" t="s">
        <v>33</v>
      </c>
      <c r="F9" s="3">
        <v>2</v>
      </c>
      <c r="G9" s="3">
        <v>5</v>
      </c>
      <c r="H9" s="3">
        <v>5</v>
      </c>
      <c r="I9" s="3">
        <v>5</v>
      </c>
      <c r="J9" s="3">
        <v>3</v>
      </c>
      <c r="K9" s="3">
        <v>4</v>
      </c>
      <c r="L9" s="3">
        <v>5</v>
      </c>
      <c r="M9" s="3">
        <v>5</v>
      </c>
      <c r="N9" s="3">
        <v>5</v>
      </c>
      <c r="O9" s="3">
        <v>5</v>
      </c>
      <c r="P9" s="3">
        <v>5</v>
      </c>
    </row>
    <row r="10" spans="1:16" ht="22.5" customHeight="1" x14ac:dyDescent="0.2">
      <c r="A10" s="2">
        <v>46155.592606967592</v>
      </c>
      <c r="B10" s="3" t="s">
        <v>34</v>
      </c>
      <c r="C10" s="3" t="s">
        <v>26</v>
      </c>
      <c r="D10" s="3" t="s">
        <v>18</v>
      </c>
      <c r="E10" s="3" t="s">
        <v>35</v>
      </c>
      <c r="F10" s="3">
        <v>4</v>
      </c>
      <c r="G10" s="3">
        <v>4</v>
      </c>
      <c r="H10" s="3">
        <v>4</v>
      </c>
      <c r="I10" s="3">
        <v>3</v>
      </c>
      <c r="J10" s="3">
        <v>4</v>
      </c>
      <c r="K10" s="3">
        <v>4</v>
      </c>
      <c r="L10" s="3">
        <v>4</v>
      </c>
      <c r="M10" s="3">
        <v>4</v>
      </c>
      <c r="N10" s="3">
        <v>3</v>
      </c>
      <c r="O10" s="3">
        <v>4</v>
      </c>
      <c r="P10" s="3">
        <v>4</v>
      </c>
    </row>
    <row r="11" spans="1:16" ht="22.5" hidden="1" customHeight="1" x14ac:dyDescent="0.2">
      <c r="A11" s="2">
        <v>46155.634209166667</v>
      </c>
      <c r="B11" s="3" t="s">
        <v>36</v>
      </c>
      <c r="C11" s="3" t="s">
        <v>26</v>
      </c>
      <c r="D11" s="3" t="s">
        <v>37</v>
      </c>
      <c r="E11" s="3" t="s">
        <v>38</v>
      </c>
      <c r="F11" s="3">
        <v>4</v>
      </c>
      <c r="G11" s="3">
        <v>3</v>
      </c>
      <c r="H11" s="3">
        <v>4</v>
      </c>
      <c r="I11" s="3">
        <v>4</v>
      </c>
      <c r="J11" s="3">
        <v>4</v>
      </c>
      <c r="K11" s="3">
        <v>3</v>
      </c>
      <c r="L11" s="3">
        <v>3</v>
      </c>
      <c r="M11" s="3">
        <v>4</v>
      </c>
      <c r="N11" s="3">
        <v>4</v>
      </c>
      <c r="O11" s="3">
        <v>4</v>
      </c>
      <c r="P11" s="3">
        <v>5</v>
      </c>
    </row>
    <row r="12" spans="1:16" ht="22.5" customHeight="1" x14ac:dyDescent="0.2">
      <c r="A12" s="2">
        <v>46155.643683946764</v>
      </c>
      <c r="B12" s="3" t="s">
        <v>39</v>
      </c>
      <c r="C12" s="3" t="s">
        <v>17</v>
      </c>
      <c r="D12" s="3" t="s">
        <v>40</v>
      </c>
      <c r="E12" s="3" t="s">
        <v>24</v>
      </c>
      <c r="F12" s="3">
        <v>4</v>
      </c>
      <c r="G12" s="3">
        <v>3</v>
      </c>
      <c r="H12" s="3">
        <v>3</v>
      </c>
      <c r="I12" s="3">
        <v>3</v>
      </c>
      <c r="J12" s="3">
        <v>2</v>
      </c>
      <c r="K12" s="3">
        <v>3</v>
      </c>
      <c r="L12" s="3">
        <v>2</v>
      </c>
      <c r="M12" s="3">
        <v>3</v>
      </c>
      <c r="N12" s="3">
        <v>3</v>
      </c>
      <c r="O12" s="3">
        <v>3</v>
      </c>
      <c r="P12" s="3">
        <v>3</v>
      </c>
    </row>
    <row r="13" spans="1:16" ht="22.5" customHeight="1" x14ac:dyDescent="0.2">
      <c r="A13" s="2">
        <v>46155.648728807872</v>
      </c>
      <c r="B13" s="3" t="s">
        <v>41</v>
      </c>
      <c r="C13" s="3" t="s">
        <v>17</v>
      </c>
      <c r="D13" s="3" t="s">
        <v>23</v>
      </c>
      <c r="E13" s="3" t="s">
        <v>24</v>
      </c>
      <c r="F13" s="3">
        <v>4</v>
      </c>
      <c r="G13" s="3">
        <v>4</v>
      </c>
      <c r="H13" s="3">
        <v>4</v>
      </c>
      <c r="I13" s="3">
        <v>3</v>
      </c>
      <c r="J13" s="3">
        <v>3</v>
      </c>
      <c r="K13" s="3">
        <v>3</v>
      </c>
      <c r="L13" s="3">
        <v>4</v>
      </c>
      <c r="M13" s="3">
        <v>3</v>
      </c>
      <c r="N13" s="3">
        <v>3</v>
      </c>
      <c r="O13" s="3">
        <v>3</v>
      </c>
      <c r="P13" s="3">
        <v>3</v>
      </c>
    </row>
    <row r="14" spans="1:16" ht="22.5" customHeight="1" x14ac:dyDescent="0.2">
      <c r="A14" s="2">
        <v>46155.64881327546</v>
      </c>
      <c r="B14" s="3" t="s">
        <v>42</v>
      </c>
      <c r="C14" s="3" t="s">
        <v>26</v>
      </c>
      <c r="D14" s="3" t="s">
        <v>18</v>
      </c>
      <c r="E14" s="3" t="s">
        <v>24</v>
      </c>
      <c r="F14" s="3">
        <v>4</v>
      </c>
      <c r="G14" s="3">
        <v>2</v>
      </c>
      <c r="H14" s="3">
        <v>4</v>
      </c>
      <c r="I14" s="3">
        <v>4</v>
      </c>
      <c r="J14" s="3">
        <v>5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</row>
    <row r="15" spans="1:16" ht="22.5" customHeight="1" x14ac:dyDescent="0.2">
      <c r="A15" s="2">
        <v>46155.685431759259</v>
      </c>
      <c r="B15" s="3" t="s">
        <v>43</v>
      </c>
      <c r="C15" s="3" t="s">
        <v>26</v>
      </c>
      <c r="D15" s="3" t="s">
        <v>44</v>
      </c>
      <c r="E15" s="3" t="s">
        <v>24</v>
      </c>
      <c r="F15" s="3">
        <v>4</v>
      </c>
      <c r="G15" s="3">
        <v>5</v>
      </c>
      <c r="H15" s="3">
        <v>3</v>
      </c>
      <c r="I15" s="3">
        <v>3</v>
      </c>
      <c r="J15" s="3">
        <v>4</v>
      </c>
      <c r="K15" s="3">
        <v>4</v>
      </c>
      <c r="L15" s="3">
        <v>3</v>
      </c>
      <c r="M15" s="3">
        <v>4</v>
      </c>
      <c r="N15" s="3">
        <v>3</v>
      </c>
      <c r="O15" s="3">
        <v>4</v>
      </c>
      <c r="P15" s="3">
        <v>4</v>
      </c>
    </row>
    <row r="16" spans="1:16" ht="22.5" customHeight="1" x14ac:dyDescent="0.2">
      <c r="A16" s="2">
        <v>46155.695569502313</v>
      </c>
      <c r="B16" s="3" t="s">
        <v>45</v>
      </c>
      <c r="C16" s="3" t="s">
        <v>26</v>
      </c>
      <c r="D16" s="3" t="s">
        <v>44</v>
      </c>
      <c r="E16" s="3" t="s">
        <v>46</v>
      </c>
      <c r="F16" s="3">
        <v>4</v>
      </c>
      <c r="G16" s="3">
        <v>4</v>
      </c>
      <c r="H16" s="3">
        <v>4</v>
      </c>
      <c r="I16" s="3">
        <v>3</v>
      </c>
      <c r="J16" s="3">
        <v>4</v>
      </c>
      <c r="K16" s="3">
        <v>5</v>
      </c>
      <c r="L16" s="3">
        <v>4</v>
      </c>
      <c r="M16" s="3">
        <v>4</v>
      </c>
      <c r="N16" s="3">
        <v>4</v>
      </c>
      <c r="O16" s="3">
        <v>5</v>
      </c>
      <c r="P16" s="3">
        <v>4</v>
      </c>
    </row>
    <row r="17" spans="1:16" ht="22.5" customHeight="1" x14ac:dyDescent="0.2">
      <c r="A17" s="2">
        <v>46155.70118369213</v>
      </c>
      <c r="B17" s="3" t="s">
        <v>47</v>
      </c>
      <c r="C17" s="3" t="s">
        <v>17</v>
      </c>
      <c r="D17" s="3" t="s">
        <v>18</v>
      </c>
      <c r="E17" s="3" t="s">
        <v>24</v>
      </c>
      <c r="F17" s="3">
        <v>6</v>
      </c>
      <c r="G17" s="3">
        <v>3</v>
      </c>
      <c r="H17" s="3">
        <v>4</v>
      </c>
      <c r="I17" s="3">
        <v>3</v>
      </c>
      <c r="J17" s="3">
        <v>4</v>
      </c>
      <c r="K17" s="3">
        <v>4</v>
      </c>
      <c r="L17" s="3">
        <v>4</v>
      </c>
      <c r="M17" s="3">
        <v>3</v>
      </c>
      <c r="N17" s="3">
        <v>4</v>
      </c>
      <c r="O17" s="3">
        <v>4</v>
      </c>
      <c r="P17" s="3">
        <v>3</v>
      </c>
    </row>
    <row r="18" spans="1:16" ht="22.5" hidden="1" customHeight="1" x14ac:dyDescent="0.2">
      <c r="A18" s="2">
        <v>46155.70906335648</v>
      </c>
      <c r="B18" s="3" t="s">
        <v>48</v>
      </c>
      <c r="C18" s="3" t="s">
        <v>26</v>
      </c>
      <c r="D18" s="3" t="s">
        <v>49</v>
      </c>
      <c r="E18" s="3" t="s">
        <v>50</v>
      </c>
      <c r="F18" s="3">
        <v>4</v>
      </c>
      <c r="G18" s="3">
        <v>4</v>
      </c>
      <c r="H18" s="3">
        <v>4</v>
      </c>
      <c r="I18" s="3">
        <v>3</v>
      </c>
      <c r="J18" s="3">
        <v>2</v>
      </c>
      <c r="K18" s="3">
        <v>4</v>
      </c>
      <c r="L18" s="3">
        <v>4</v>
      </c>
      <c r="M18" s="3">
        <v>3</v>
      </c>
      <c r="N18" s="3">
        <v>3</v>
      </c>
      <c r="O18" s="3">
        <v>3</v>
      </c>
      <c r="P18" s="3">
        <v>3</v>
      </c>
    </row>
    <row r="19" spans="1:16" ht="22.5" customHeight="1" x14ac:dyDescent="0.2">
      <c r="A19" s="2">
        <v>46155.714531481484</v>
      </c>
      <c r="B19" s="3" t="s">
        <v>51</v>
      </c>
      <c r="C19" s="3" t="s">
        <v>17</v>
      </c>
      <c r="D19" s="3" t="s">
        <v>44</v>
      </c>
      <c r="E19" s="3" t="s">
        <v>19</v>
      </c>
      <c r="F19" s="3">
        <v>4</v>
      </c>
      <c r="G19" s="3">
        <v>4</v>
      </c>
      <c r="H19" s="3">
        <v>5</v>
      </c>
      <c r="I19" s="3">
        <v>4</v>
      </c>
      <c r="J19" s="3">
        <v>4</v>
      </c>
      <c r="K19" s="3">
        <v>5</v>
      </c>
      <c r="L19" s="3">
        <v>5</v>
      </c>
      <c r="M19" s="3">
        <v>4</v>
      </c>
      <c r="N19" s="3">
        <v>4</v>
      </c>
      <c r="O19" s="3">
        <v>4</v>
      </c>
      <c r="P19" s="3">
        <v>4</v>
      </c>
    </row>
    <row r="20" spans="1:16" ht="22.5" customHeight="1" x14ac:dyDescent="0.2">
      <c r="A20" s="2">
        <v>46155.736699467598</v>
      </c>
      <c r="B20" s="3" t="s">
        <v>52</v>
      </c>
      <c r="C20" s="3" t="s">
        <v>26</v>
      </c>
      <c r="D20" s="3" t="s">
        <v>53</v>
      </c>
      <c r="E20" s="3" t="s">
        <v>19</v>
      </c>
      <c r="F20" s="3">
        <v>4</v>
      </c>
      <c r="G20" s="3">
        <v>2</v>
      </c>
      <c r="H20" s="3">
        <v>3</v>
      </c>
      <c r="I20" s="3">
        <v>4</v>
      </c>
      <c r="J20" s="3">
        <v>4</v>
      </c>
      <c r="K20" s="3">
        <v>3</v>
      </c>
      <c r="L20" s="3">
        <v>5</v>
      </c>
      <c r="M20" s="3">
        <v>3</v>
      </c>
      <c r="N20" s="3">
        <v>3</v>
      </c>
      <c r="O20" s="3">
        <v>4</v>
      </c>
      <c r="P20" s="3">
        <v>3</v>
      </c>
    </row>
    <row r="21" spans="1:16" ht="22.5" customHeight="1" x14ac:dyDescent="0.2">
      <c r="A21" s="2">
        <v>46155.738276168981</v>
      </c>
      <c r="B21" s="3" t="s">
        <v>54</v>
      </c>
      <c r="C21" s="3" t="s">
        <v>17</v>
      </c>
      <c r="D21" s="3" t="s">
        <v>23</v>
      </c>
      <c r="E21" s="3" t="s">
        <v>24</v>
      </c>
      <c r="F21" s="3">
        <v>4</v>
      </c>
      <c r="G21" s="3">
        <v>3</v>
      </c>
      <c r="H21" s="3">
        <v>4</v>
      </c>
      <c r="I21" s="3">
        <v>4</v>
      </c>
      <c r="J21" s="3">
        <v>3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</row>
    <row r="22" spans="1:16" ht="22.5" customHeight="1" x14ac:dyDescent="0.2">
      <c r="A22" s="2">
        <v>46155.758617384257</v>
      </c>
      <c r="B22" s="3" t="s">
        <v>55</v>
      </c>
      <c r="C22" s="3" t="s">
        <v>17</v>
      </c>
      <c r="D22" s="3" t="s">
        <v>23</v>
      </c>
      <c r="E22" s="3" t="s">
        <v>24</v>
      </c>
      <c r="F22" s="3">
        <v>4</v>
      </c>
      <c r="G22" s="3">
        <v>4</v>
      </c>
      <c r="H22" s="3">
        <v>4</v>
      </c>
      <c r="I22" s="3">
        <v>4</v>
      </c>
      <c r="J22" s="3">
        <v>3</v>
      </c>
      <c r="K22" s="3">
        <v>4</v>
      </c>
      <c r="L22" s="3">
        <v>3</v>
      </c>
      <c r="M22" s="3">
        <v>4</v>
      </c>
      <c r="N22" s="3">
        <v>4</v>
      </c>
      <c r="O22" s="3">
        <v>4</v>
      </c>
      <c r="P22" s="3">
        <v>3</v>
      </c>
    </row>
    <row r="23" spans="1:16" ht="22.5" customHeight="1" x14ac:dyDescent="0.2">
      <c r="A23" s="2">
        <v>46155.794201145836</v>
      </c>
      <c r="B23" s="3" t="s">
        <v>56</v>
      </c>
      <c r="C23" s="3" t="s">
        <v>17</v>
      </c>
      <c r="D23" s="3" t="s">
        <v>23</v>
      </c>
      <c r="E23" s="3" t="s">
        <v>19</v>
      </c>
      <c r="F23" s="3">
        <v>4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>
        <v>4</v>
      </c>
      <c r="M23" s="3">
        <v>4</v>
      </c>
      <c r="N23" s="3">
        <v>4</v>
      </c>
      <c r="O23" s="3">
        <v>5</v>
      </c>
      <c r="P23" s="3">
        <v>5</v>
      </c>
    </row>
    <row r="24" spans="1:16" ht="22.5" customHeight="1" x14ac:dyDescent="0.2">
      <c r="A24" s="2">
        <v>46155.853932280093</v>
      </c>
      <c r="B24" s="3" t="s">
        <v>57</v>
      </c>
      <c r="C24" s="3" t="s">
        <v>17</v>
      </c>
      <c r="D24" s="3" t="s">
        <v>58</v>
      </c>
      <c r="E24" s="3" t="s">
        <v>19</v>
      </c>
      <c r="F24" s="3">
        <v>4</v>
      </c>
      <c r="G24" s="3">
        <v>4</v>
      </c>
      <c r="H24" s="3">
        <v>4</v>
      </c>
      <c r="I24" s="3">
        <v>3</v>
      </c>
      <c r="J24" s="3">
        <v>4</v>
      </c>
      <c r="K24" s="3">
        <v>3</v>
      </c>
      <c r="L24" s="3">
        <v>3</v>
      </c>
      <c r="M24" s="3">
        <v>3</v>
      </c>
      <c r="N24" s="3">
        <v>3</v>
      </c>
      <c r="O24" s="3">
        <v>4</v>
      </c>
      <c r="P24" s="3">
        <v>3</v>
      </c>
    </row>
    <row r="25" spans="1:16" ht="22.5" customHeight="1" x14ac:dyDescent="0.2">
      <c r="A25" s="2">
        <v>46155.863117696761</v>
      </c>
      <c r="B25" s="3" t="s">
        <v>59</v>
      </c>
      <c r="C25" s="3" t="s">
        <v>17</v>
      </c>
      <c r="D25" s="3" t="s">
        <v>23</v>
      </c>
      <c r="E25" s="3" t="s">
        <v>24</v>
      </c>
      <c r="F25" s="3">
        <v>4</v>
      </c>
      <c r="G25" s="3">
        <v>4</v>
      </c>
      <c r="H25" s="3">
        <v>5</v>
      </c>
      <c r="I25" s="3">
        <v>3</v>
      </c>
      <c r="J25" s="3">
        <v>3</v>
      </c>
      <c r="K25" s="3">
        <v>3</v>
      </c>
      <c r="L25" s="3">
        <v>4</v>
      </c>
      <c r="M25" s="3">
        <v>4</v>
      </c>
      <c r="N25" s="3">
        <v>4</v>
      </c>
      <c r="O25" s="3">
        <v>4</v>
      </c>
      <c r="P25" s="3">
        <v>3</v>
      </c>
    </row>
    <row r="26" spans="1:16" ht="22.5" hidden="1" customHeight="1" x14ac:dyDescent="0.2">
      <c r="A26" s="2">
        <v>46155.86562783565</v>
      </c>
      <c r="B26" s="3" t="s">
        <v>60</v>
      </c>
      <c r="C26" s="3" t="s">
        <v>26</v>
      </c>
      <c r="D26" s="3" t="s">
        <v>61</v>
      </c>
      <c r="E26" s="3" t="s">
        <v>62</v>
      </c>
      <c r="F26" s="3">
        <v>6</v>
      </c>
      <c r="G26" s="3">
        <v>1</v>
      </c>
      <c r="H26" s="3">
        <v>1</v>
      </c>
      <c r="I26" s="3">
        <v>2</v>
      </c>
      <c r="J26" s="3">
        <v>1</v>
      </c>
      <c r="K26" s="3">
        <v>3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</row>
    <row r="27" spans="1:16" ht="22.5" customHeight="1" x14ac:dyDescent="0.2">
      <c r="A27" s="2">
        <v>46155.865814872683</v>
      </c>
      <c r="B27" s="3" t="s">
        <v>63</v>
      </c>
      <c r="C27" s="3" t="s">
        <v>17</v>
      </c>
      <c r="D27" s="3" t="s">
        <v>23</v>
      </c>
      <c r="E27" s="3" t="s">
        <v>64</v>
      </c>
      <c r="F27" s="3">
        <v>4</v>
      </c>
      <c r="G27" s="3">
        <v>3</v>
      </c>
      <c r="H27" s="3">
        <v>3</v>
      </c>
      <c r="I27" s="3">
        <v>2</v>
      </c>
      <c r="J27" s="3">
        <v>3</v>
      </c>
      <c r="K27" s="3">
        <v>4</v>
      </c>
      <c r="L27" s="3">
        <v>4</v>
      </c>
      <c r="M27" s="3">
        <v>4</v>
      </c>
      <c r="N27" s="3">
        <v>3</v>
      </c>
      <c r="O27" s="3">
        <v>3</v>
      </c>
      <c r="P27" s="3">
        <v>3</v>
      </c>
    </row>
    <row r="28" spans="1:16" ht="22.5" customHeight="1" x14ac:dyDescent="0.2">
      <c r="A28" s="2">
        <v>46155.910310162042</v>
      </c>
      <c r="B28" s="3" t="s">
        <v>65</v>
      </c>
      <c r="C28" s="3" t="s">
        <v>17</v>
      </c>
      <c r="D28" s="3" t="s">
        <v>53</v>
      </c>
      <c r="E28" s="3" t="s">
        <v>19</v>
      </c>
      <c r="F28" s="3">
        <v>4</v>
      </c>
      <c r="G28" s="3">
        <v>3</v>
      </c>
      <c r="H28" s="3">
        <v>4</v>
      </c>
      <c r="I28" s="3">
        <v>4</v>
      </c>
      <c r="J28" s="3">
        <v>4</v>
      </c>
      <c r="K28" s="3">
        <v>4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</row>
    <row r="29" spans="1:16" ht="22.5" customHeight="1" x14ac:dyDescent="0.2">
      <c r="A29" s="2">
        <v>46155.936593171296</v>
      </c>
      <c r="B29" s="3" t="s">
        <v>66</v>
      </c>
      <c r="C29" s="3" t="s">
        <v>17</v>
      </c>
      <c r="D29" s="3" t="s">
        <v>18</v>
      </c>
      <c r="E29" s="3" t="s">
        <v>35</v>
      </c>
      <c r="F29" s="3">
        <v>4</v>
      </c>
      <c r="G29" s="3">
        <v>3</v>
      </c>
      <c r="H29" s="3">
        <v>4</v>
      </c>
      <c r="I29" s="3">
        <v>3</v>
      </c>
      <c r="J29" s="3">
        <v>3</v>
      </c>
      <c r="K29" s="3">
        <v>3</v>
      </c>
      <c r="L29" s="3">
        <v>3</v>
      </c>
      <c r="M29" s="3">
        <v>4</v>
      </c>
      <c r="N29" s="3">
        <v>3</v>
      </c>
      <c r="O29" s="3">
        <v>3</v>
      </c>
      <c r="P29" s="3">
        <v>3</v>
      </c>
    </row>
    <row r="30" spans="1:16" ht="22.5" customHeight="1" x14ac:dyDescent="0.2">
      <c r="A30" s="2">
        <v>46156.29993173611</v>
      </c>
      <c r="B30" s="3" t="s">
        <v>67</v>
      </c>
      <c r="C30" s="3" t="s">
        <v>17</v>
      </c>
      <c r="D30" s="3" t="s">
        <v>68</v>
      </c>
      <c r="E30" s="3" t="s">
        <v>19</v>
      </c>
      <c r="F30" s="3">
        <v>2</v>
      </c>
      <c r="G30" s="3">
        <v>3</v>
      </c>
      <c r="H30" s="3">
        <v>4</v>
      </c>
      <c r="I30" s="3">
        <v>3</v>
      </c>
      <c r="J30" s="3">
        <v>4</v>
      </c>
      <c r="K30" s="3">
        <v>3</v>
      </c>
      <c r="L30" s="3">
        <v>3</v>
      </c>
      <c r="M30" s="3">
        <v>4</v>
      </c>
      <c r="N30" s="3">
        <v>4</v>
      </c>
      <c r="O30" s="3">
        <v>4</v>
      </c>
      <c r="P30" s="3">
        <v>4</v>
      </c>
    </row>
    <row r="31" spans="1:16" ht="22.5" customHeight="1" x14ac:dyDescent="0.2">
      <c r="A31" s="2">
        <v>46156.301305613422</v>
      </c>
      <c r="B31" s="3" t="s">
        <v>69</v>
      </c>
      <c r="C31" s="3" t="s">
        <v>26</v>
      </c>
      <c r="D31" s="3" t="s">
        <v>53</v>
      </c>
      <c r="E31" s="3" t="s">
        <v>19</v>
      </c>
      <c r="F31" s="3">
        <v>6</v>
      </c>
      <c r="G31" s="3">
        <v>3</v>
      </c>
      <c r="H31" s="3">
        <v>2</v>
      </c>
      <c r="I31" s="3">
        <v>3</v>
      </c>
      <c r="J31" s="3">
        <v>4</v>
      </c>
      <c r="K31" s="3">
        <v>3</v>
      </c>
      <c r="L31" s="3">
        <v>2</v>
      </c>
      <c r="M31" s="3">
        <v>3</v>
      </c>
      <c r="N31" s="3">
        <v>4</v>
      </c>
      <c r="O31" s="3">
        <v>3</v>
      </c>
      <c r="P31" s="3">
        <v>2</v>
      </c>
    </row>
    <row r="32" spans="1:16" ht="22.5" customHeight="1" x14ac:dyDescent="0.2">
      <c r="A32" s="2">
        <v>46156.306468356481</v>
      </c>
      <c r="B32" s="3" t="s">
        <v>70</v>
      </c>
      <c r="C32" s="3" t="s">
        <v>17</v>
      </c>
      <c r="D32" s="3" t="s">
        <v>58</v>
      </c>
      <c r="E32" s="3" t="s">
        <v>19</v>
      </c>
      <c r="F32" s="3">
        <v>2</v>
      </c>
      <c r="G32" s="3">
        <v>4</v>
      </c>
      <c r="H32" s="3">
        <v>4</v>
      </c>
      <c r="I32" s="3">
        <v>1</v>
      </c>
      <c r="J32" s="3">
        <v>4</v>
      </c>
      <c r="K32" s="3">
        <v>5</v>
      </c>
      <c r="L32" s="3">
        <v>3</v>
      </c>
      <c r="M32" s="3">
        <v>3</v>
      </c>
      <c r="N32" s="3">
        <v>4</v>
      </c>
      <c r="O32" s="3">
        <v>3</v>
      </c>
      <c r="P32" s="3">
        <v>3</v>
      </c>
    </row>
    <row r="33" spans="1:16" ht="22.5" customHeight="1" x14ac:dyDescent="0.2">
      <c r="A33" s="2">
        <v>46156.401897037038</v>
      </c>
      <c r="B33" s="3" t="s">
        <v>71</v>
      </c>
      <c r="C33" s="3" t="s">
        <v>17</v>
      </c>
      <c r="D33" s="3" t="s">
        <v>18</v>
      </c>
      <c r="E33" s="3" t="s">
        <v>24</v>
      </c>
      <c r="F33" s="3">
        <v>4</v>
      </c>
      <c r="G33" s="3">
        <v>3</v>
      </c>
      <c r="H33" s="3">
        <v>4</v>
      </c>
      <c r="I33" s="3">
        <v>3</v>
      </c>
      <c r="J33" s="3">
        <v>3</v>
      </c>
      <c r="K33" s="3">
        <v>3</v>
      </c>
      <c r="L33" s="3">
        <v>3</v>
      </c>
      <c r="M33" s="3">
        <v>3</v>
      </c>
      <c r="N33" s="3">
        <v>3</v>
      </c>
      <c r="O33" s="3">
        <v>3</v>
      </c>
      <c r="P33" s="3">
        <v>3</v>
      </c>
    </row>
    <row r="34" spans="1:16" ht="22.5" customHeight="1" x14ac:dyDescent="0.2">
      <c r="A34" s="2">
        <v>46156.427334155094</v>
      </c>
      <c r="B34" s="3" t="s">
        <v>72</v>
      </c>
      <c r="C34" s="3" t="s">
        <v>17</v>
      </c>
      <c r="D34" s="3" t="s">
        <v>23</v>
      </c>
      <c r="E34" s="3" t="s">
        <v>24</v>
      </c>
      <c r="F34" s="3">
        <v>4</v>
      </c>
      <c r="G34" s="3">
        <v>4</v>
      </c>
      <c r="H34" s="3">
        <v>5</v>
      </c>
      <c r="I34" s="3">
        <v>3</v>
      </c>
      <c r="J34" s="3">
        <v>3</v>
      </c>
      <c r="K34" s="3">
        <v>4</v>
      </c>
      <c r="L34" s="3">
        <v>4</v>
      </c>
      <c r="M34" s="3">
        <v>5</v>
      </c>
      <c r="N34" s="3">
        <v>5</v>
      </c>
      <c r="O34" s="3">
        <v>5</v>
      </c>
      <c r="P34" s="3">
        <v>5</v>
      </c>
    </row>
    <row r="35" spans="1:16" ht="22.5" customHeight="1" x14ac:dyDescent="0.2">
      <c r="A35" s="2">
        <v>46156.547237141203</v>
      </c>
      <c r="B35" s="3" t="s">
        <v>73</v>
      </c>
      <c r="C35" s="3" t="s">
        <v>17</v>
      </c>
      <c r="D35" s="3" t="s">
        <v>23</v>
      </c>
      <c r="E35" s="3" t="s">
        <v>35</v>
      </c>
      <c r="F35" s="3">
        <v>4</v>
      </c>
      <c r="G35" s="3">
        <v>3</v>
      </c>
      <c r="H35" s="3">
        <v>4</v>
      </c>
      <c r="I35" s="3">
        <v>3</v>
      </c>
      <c r="J35" s="3">
        <v>4</v>
      </c>
      <c r="K35" s="3">
        <v>5</v>
      </c>
      <c r="L35" s="3">
        <v>4</v>
      </c>
      <c r="M35" s="3">
        <v>4</v>
      </c>
      <c r="N35" s="3">
        <v>3</v>
      </c>
      <c r="O35" s="3">
        <v>3</v>
      </c>
      <c r="P35" s="3">
        <v>4</v>
      </c>
    </row>
    <row r="36" spans="1:16" ht="22.5" customHeight="1" x14ac:dyDescent="0.2">
      <c r="A36" s="2">
        <v>46156.588809606481</v>
      </c>
      <c r="B36" s="3" t="s">
        <v>74</v>
      </c>
      <c r="C36" s="3" t="s">
        <v>17</v>
      </c>
      <c r="D36" s="3" t="s">
        <v>75</v>
      </c>
      <c r="E36" s="3" t="s">
        <v>64</v>
      </c>
      <c r="F36" s="3">
        <v>4</v>
      </c>
      <c r="G36" s="3">
        <v>4</v>
      </c>
      <c r="H36" s="3">
        <v>4</v>
      </c>
      <c r="I36" s="3">
        <v>4</v>
      </c>
      <c r="J36" s="3">
        <v>4</v>
      </c>
      <c r="K36" s="3">
        <v>4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</row>
    <row r="37" spans="1:16" ht="22.5" customHeight="1" x14ac:dyDescent="0.2">
      <c r="A37" s="2">
        <v>46156.592409282406</v>
      </c>
      <c r="B37" s="3" t="s">
        <v>76</v>
      </c>
      <c r="C37" s="3" t="s">
        <v>17</v>
      </c>
      <c r="D37" s="3" t="s">
        <v>18</v>
      </c>
      <c r="E37" s="3" t="s">
        <v>19</v>
      </c>
      <c r="F37" s="3">
        <v>2</v>
      </c>
      <c r="G37" s="3">
        <v>4</v>
      </c>
      <c r="H37" s="3">
        <v>4</v>
      </c>
      <c r="I37" s="3">
        <v>4</v>
      </c>
      <c r="J37" s="3">
        <v>4</v>
      </c>
      <c r="K37" s="3">
        <v>5</v>
      </c>
      <c r="L37" s="3">
        <v>5</v>
      </c>
      <c r="M37" s="3">
        <v>4</v>
      </c>
      <c r="N37" s="3">
        <v>4</v>
      </c>
      <c r="O37" s="3">
        <v>5</v>
      </c>
      <c r="P37" s="3">
        <v>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9DF4-E912-4B8E-945F-CE38A23B4658}">
  <dimension ref="A1:M33"/>
  <sheetViews>
    <sheetView workbookViewId="0">
      <selection activeCell="G13" sqref="G13"/>
    </sheetView>
  </sheetViews>
  <sheetFormatPr defaultRowHeight="12.75" x14ac:dyDescent="0.2"/>
  <cols>
    <col min="1" max="1" width="25.5703125" customWidth="1"/>
    <col min="2" max="2" width="19.42578125" customWidth="1"/>
    <col min="3" max="3" width="42.85546875" customWidth="1"/>
    <col min="13" max="13" width="80.7109375" customWidth="1"/>
  </cols>
  <sheetData>
    <row r="1" spans="1:13" x14ac:dyDescent="0.2">
      <c r="A1" s="17" t="s">
        <v>1</v>
      </c>
      <c r="B1" s="17" t="s">
        <v>2</v>
      </c>
      <c r="C1" s="17" t="s">
        <v>3</v>
      </c>
      <c r="D1" s="17" t="s">
        <v>6</v>
      </c>
      <c r="E1" s="17" t="s">
        <v>7</v>
      </c>
      <c r="F1" s="17" t="s">
        <v>8</v>
      </c>
      <c r="G1" s="17" t="s">
        <v>9</v>
      </c>
      <c r="H1" s="17" t="s">
        <v>10</v>
      </c>
      <c r="I1" s="17" t="s">
        <v>11</v>
      </c>
      <c r="J1" s="17" t="s">
        <v>12</v>
      </c>
      <c r="K1" s="17" t="s">
        <v>13</v>
      </c>
      <c r="L1" s="17" t="s">
        <v>14</v>
      </c>
      <c r="M1" s="21" t="s">
        <v>15</v>
      </c>
    </row>
    <row r="2" spans="1:13" x14ac:dyDescent="0.2">
      <c r="A2" s="18" t="s">
        <v>16</v>
      </c>
      <c r="B2" s="18" t="s">
        <v>17</v>
      </c>
      <c r="C2" s="18" t="s">
        <v>18</v>
      </c>
      <c r="D2" s="18">
        <v>4</v>
      </c>
      <c r="E2" s="18">
        <v>4</v>
      </c>
      <c r="F2" s="18">
        <v>3</v>
      </c>
      <c r="G2" s="18">
        <v>3</v>
      </c>
      <c r="H2" s="18">
        <v>4</v>
      </c>
      <c r="I2" s="18">
        <v>4</v>
      </c>
      <c r="J2" s="18">
        <v>4</v>
      </c>
      <c r="K2" s="18">
        <v>3</v>
      </c>
      <c r="L2" s="18">
        <v>4</v>
      </c>
      <c r="M2" s="22">
        <v>3</v>
      </c>
    </row>
    <row r="3" spans="1:13" x14ac:dyDescent="0.2">
      <c r="A3" s="19" t="s">
        <v>20</v>
      </c>
      <c r="B3" s="19" t="s">
        <v>17</v>
      </c>
      <c r="C3" s="19" t="s">
        <v>21</v>
      </c>
      <c r="D3" s="19">
        <v>4</v>
      </c>
      <c r="E3" s="19">
        <v>5</v>
      </c>
      <c r="F3" s="19">
        <v>5</v>
      </c>
      <c r="G3" s="19">
        <v>3</v>
      </c>
      <c r="H3" s="19">
        <v>5</v>
      </c>
      <c r="I3" s="19">
        <v>3</v>
      </c>
      <c r="J3" s="19">
        <v>4</v>
      </c>
      <c r="K3" s="19">
        <v>4</v>
      </c>
      <c r="L3" s="19">
        <v>4</v>
      </c>
      <c r="M3" s="23">
        <v>4</v>
      </c>
    </row>
    <row r="4" spans="1:13" x14ac:dyDescent="0.2">
      <c r="A4" s="18" t="s">
        <v>22</v>
      </c>
      <c r="B4" s="18" t="s">
        <v>17</v>
      </c>
      <c r="C4" s="18" t="s">
        <v>23</v>
      </c>
      <c r="D4" s="18">
        <v>4</v>
      </c>
      <c r="E4" s="18">
        <v>4</v>
      </c>
      <c r="F4" s="18">
        <v>4</v>
      </c>
      <c r="G4" s="18">
        <v>4</v>
      </c>
      <c r="H4" s="18">
        <v>4</v>
      </c>
      <c r="I4" s="18">
        <v>3</v>
      </c>
      <c r="J4" s="18">
        <v>5</v>
      </c>
      <c r="K4" s="18">
        <v>4</v>
      </c>
      <c r="L4" s="18">
        <v>5</v>
      </c>
      <c r="M4" s="22">
        <v>4</v>
      </c>
    </row>
    <row r="5" spans="1:13" x14ac:dyDescent="0.2">
      <c r="A5" s="19" t="s">
        <v>25</v>
      </c>
      <c r="B5" s="19" t="s">
        <v>26</v>
      </c>
      <c r="C5" s="19" t="s">
        <v>18</v>
      </c>
      <c r="D5" s="19">
        <v>5</v>
      </c>
      <c r="E5" s="19">
        <v>4</v>
      </c>
      <c r="F5" s="19">
        <v>3</v>
      </c>
      <c r="G5" s="19">
        <v>5</v>
      </c>
      <c r="H5" s="19">
        <v>4</v>
      </c>
      <c r="I5" s="19">
        <v>4</v>
      </c>
      <c r="J5" s="19">
        <v>5</v>
      </c>
      <c r="K5" s="19">
        <v>5</v>
      </c>
      <c r="L5" s="19">
        <v>5</v>
      </c>
      <c r="M5" s="23">
        <v>5</v>
      </c>
    </row>
    <row r="6" spans="1:13" x14ac:dyDescent="0.2">
      <c r="A6" s="18" t="s">
        <v>27</v>
      </c>
      <c r="B6" s="18" t="s">
        <v>17</v>
      </c>
      <c r="C6" s="18" t="s">
        <v>18</v>
      </c>
      <c r="D6" s="18">
        <v>3</v>
      </c>
      <c r="E6" s="18">
        <v>4</v>
      </c>
      <c r="F6" s="18">
        <v>5</v>
      </c>
      <c r="G6" s="18">
        <v>5</v>
      </c>
      <c r="H6" s="18">
        <v>4</v>
      </c>
      <c r="I6" s="18">
        <v>2</v>
      </c>
      <c r="J6" s="18">
        <v>4</v>
      </c>
      <c r="K6" s="18">
        <v>4</v>
      </c>
      <c r="L6" s="18">
        <v>5</v>
      </c>
      <c r="M6" s="22">
        <v>5</v>
      </c>
    </row>
    <row r="7" spans="1:13" x14ac:dyDescent="0.2">
      <c r="A7" s="19" t="s">
        <v>28</v>
      </c>
      <c r="B7" s="19" t="s">
        <v>17</v>
      </c>
      <c r="C7" s="19" t="s">
        <v>18</v>
      </c>
      <c r="D7" s="19">
        <v>3</v>
      </c>
      <c r="E7" s="19">
        <v>3</v>
      </c>
      <c r="F7" s="19">
        <v>1</v>
      </c>
      <c r="G7" s="19">
        <v>3</v>
      </c>
      <c r="H7" s="19">
        <v>4</v>
      </c>
      <c r="I7" s="19">
        <v>2</v>
      </c>
      <c r="J7" s="19">
        <v>3</v>
      </c>
      <c r="K7" s="19">
        <v>3</v>
      </c>
      <c r="L7" s="19">
        <v>3</v>
      </c>
      <c r="M7" s="23">
        <v>3</v>
      </c>
    </row>
    <row r="8" spans="1:13" x14ac:dyDescent="0.2">
      <c r="A8" s="18" t="s">
        <v>29</v>
      </c>
      <c r="B8" s="18" t="s">
        <v>17</v>
      </c>
      <c r="C8" s="18" t="s">
        <v>23</v>
      </c>
      <c r="D8" s="18">
        <v>3</v>
      </c>
      <c r="E8" s="18">
        <v>4</v>
      </c>
      <c r="F8" s="18">
        <v>3</v>
      </c>
      <c r="G8" s="18">
        <v>3</v>
      </c>
      <c r="H8" s="18">
        <v>4</v>
      </c>
      <c r="I8" s="18">
        <v>3</v>
      </c>
      <c r="J8" s="18">
        <v>3</v>
      </c>
      <c r="K8" s="18">
        <v>3</v>
      </c>
      <c r="L8" s="18">
        <v>3</v>
      </c>
      <c r="M8" s="22">
        <v>3</v>
      </c>
    </row>
    <row r="9" spans="1:13" x14ac:dyDescent="0.2">
      <c r="A9" s="19" t="s">
        <v>34</v>
      </c>
      <c r="B9" s="19" t="s">
        <v>26</v>
      </c>
      <c r="C9" s="19" t="s">
        <v>18</v>
      </c>
      <c r="D9" s="19">
        <v>4</v>
      </c>
      <c r="E9" s="19">
        <v>4</v>
      </c>
      <c r="F9" s="19">
        <v>3</v>
      </c>
      <c r="G9" s="19">
        <v>4</v>
      </c>
      <c r="H9" s="19">
        <v>4</v>
      </c>
      <c r="I9" s="19">
        <v>4</v>
      </c>
      <c r="J9" s="19">
        <v>4</v>
      </c>
      <c r="K9" s="19">
        <v>3</v>
      </c>
      <c r="L9" s="19">
        <v>4</v>
      </c>
      <c r="M9" s="23">
        <v>4</v>
      </c>
    </row>
    <row r="10" spans="1:13" x14ac:dyDescent="0.2">
      <c r="A10" s="18" t="s">
        <v>39</v>
      </c>
      <c r="B10" s="18" t="s">
        <v>17</v>
      </c>
      <c r="C10" s="18" t="s">
        <v>40</v>
      </c>
      <c r="D10" s="18">
        <v>3</v>
      </c>
      <c r="E10" s="18">
        <v>3</v>
      </c>
      <c r="F10" s="18">
        <v>3</v>
      </c>
      <c r="G10" s="18">
        <v>2</v>
      </c>
      <c r="H10" s="18">
        <v>3</v>
      </c>
      <c r="I10" s="18">
        <v>2</v>
      </c>
      <c r="J10" s="18">
        <v>3</v>
      </c>
      <c r="K10" s="18">
        <v>3</v>
      </c>
      <c r="L10" s="18">
        <v>3</v>
      </c>
      <c r="M10" s="22">
        <v>3</v>
      </c>
    </row>
    <row r="11" spans="1:13" x14ac:dyDescent="0.2">
      <c r="A11" s="19" t="s">
        <v>41</v>
      </c>
      <c r="B11" s="19" t="s">
        <v>17</v>
      </c>
      <c r="C11" s="19" t="s">
        <v>23</v>
      </c>
      <c r="D11" s="19">
        <v>4</v>
      </c>
      <c r="E11" s="19">
        <v>4</v>
      </c>
      <c r="F11" s="19">
        <v>3</v>
      </c>
      <c r="G11" s="19">
        <v>3</v>
      </c>
      <c r="H11" s="19">
        <v>3</v>
      </c>
      <c r="I11" s="19">
        <v>4</v>
      </c>
      <c r="J11" s="19">
        <v>3</v>
      </c>
      <c r="K11" s="19">
        <v>3</v>
      </c>
      <c r="L11" s="19">
        <v>3</v>
      </c>
      <c r="M11" s="23">
        <v>3</v>
      </c>
    </row>
    <row r="12" spans="1:13" x14ac:dyDescent="0.2">
      <c r="A12" s="18" t="s">
        <v>42</v>
      </c>
      <c r="B12" s="18" t="s">
        <v>26</v>
      </c>
      <c r="C12" s="18" t="s">
        <v>18</v>
      </c>
      <c r="D12" s="18">
        <v>2</v>
      </c>
      <c r="E12" s="18">
        <v>4</v>
      </c>
      <c r="F12" s="18">
        <v>4</v>
      </c>
      <c r="G12" s="18">
        <v>5</v>
      </c>
      <c r="H12" s="18">
        <v>4</v>
      </c>
      <c r="I12" s="18">
        <v>4</v>
      </c>
      <c r="J12" s="18">
        <v>4</v>
      </c>
      <c r="K12" s="18">
        <v>4</v>
      </c>
      <c r="L12" s="18">
        <v>4</v>
      </c>
      <c r="M12" s="22">
        <v>4</v>
      </c>
    </row>
    <row r="13" spans="1:13" x14ac:dyDescent="0.2">
      <c r="A13" s="19" t="s">
        <v>43</v>
      </c>
      <c r="B13" s="19" t="s">
        <v>26</v>
      </c>
      <c r="C13" s="19" t="s">
        <v>44</v>
      </c>
      <c r="D13" s="19">
        <v>5</v>
      </c>
      <c r="E13" s="19">
        <v>3</v>
      </c>
      <c r="F13" s="19">
        <v>3</v>
      </c>
      <c r="G13" s="19">
        <v>4</v>
      </c>
      <c r="H13" s="19">
        <v>4</v>
      </c>
      <c r="I13" s="19">
        <v>3</v>
      </c>
      <c r="J13" s="19">
        <v>4</v>
      </c>
      <c r="K13" s="19">
        <v>3</v>
      </c>
      <c r="L13" s="19">
        <v>4</v>
      </c>
      <c r="M13" s="23">
        <v>4</v>
      </c>
    </row>
    <row r="14" spans="1:13" x14ac:dyDescent="0.2">
      <c r="A14" s="18" t="s">
        <v>45</v>
      </c>
      <c r="B14" s="18" t="s">
        <v>26</v>
      </c>
      <c r="C14" s="18" t="s">
        <v>44</v>
      </c>
      <c r="D14" s="18">
        <v>4</v>
      </c>
      <c r="E14" s="18">
        <v>4</v>
      </c>
      <c r="F14" s="18">
        <v>3</v>
      </c>
      <c r="G14" s="18">
        <v>4</v>
      </c>
      <c r="H14" s="18">
        <v>5</v>
      </c>
      <c r="I14" s="18">
        <v>4</v>
      </c>
      <c r="J14" s="18">
        <v>4</v>
      </c>
      <c r="K14" s="18">
        <v>4</v>
      </c>
      <c r="L14" s="18">
        <v>5</v>
      </c>
      <c r="M14" s="22">
        <v>4</v>
      </c>
    </row>
    <row r="15" spans="1:13" x14ac:dyDescent="0.2">
      <c r="A15" s="19" t="s">
        <v>47</v>
      </c>
      <c r="B15" s="19" t="s">
        <v>17</v>
      </c>
      <c r="C15" s="19" t="s">
        <v>18</v>
      </c>
      <c r="D15" s="19">
        <v>3</v>
      </c>
      <c r="E15" s="19">
        <v>4</v>
      </c>
      <c r="F15" s="19">
        <v>3</v>
      </c>
      <c r="G15" s="19">
        <v>4</v>
      </c>
      <c r="H15" s="19">
        <v>4</v>
      </c>
      <c r="I15" s="19">
        <v>4</v>
      </c>
      <c r="J15" s="19">
        <v>3</v>
      </c>
      <c r="K15" s="19">
        <v>4</v>
      </c>
      <c r="L15" s="19">
        <v>4</v>
      </c>
      <c r="M15" s="23">
        <v>3</v>
      </c>
    </row>
    <row r="16" spans="1:13" x14ac:dyDescent="0.2">
      <c r="A16" s="18" t="s">
        <v>51</v>
      </c>
      <c r="B16" s="18" t="s">
        <v>17</v>
      </c>
      <c r="C16" s="18" t="s">
        <v>44</v>
      </c>
      <c r="D16" s="18">
        <v>4</v>
      </c>
      <c r="E16" s="18">
        <v>5</v>
      </c>
      <c r="F16" s="18">
        <v>4</v>
      </c>
      <c r="G16" s="18">
        <v>4</v>
      </c>
      <c r="H16" s="18">
        <v>5</v>
      </c>
      <c r="I16" s="18">
        <v>5</v>
      </c>
      <c r="J16" s="18">
        <v>4</v>
      </c>
      <c r="K16" s="18">
        <v>4</v>
      </c>
      <c r="L16" s="18">
        <v>4</v>
      </c>
      <c r="M16" s="22">
        <v>4</v>
      </c>
    </row>
    <row r="17" spans="1:13" x14ac:dyDescent="0.2">
      <c r="A17" s="19" t="s">
        <v>52</v>
      </c>
      <c r="B17" s="19" t="s">
        <v>26</v>
      </c>
      <c r="C17" s="19" t="s">
        <v>53</v>
      </c>
      <c r="D17" s="19">
        <v>2</v>
      </c>
      <c r="E17" s="19">
        <v>3</v>
      </c>
      <c r="F17" s="19">
        <v>4</v>
      </c>
      <c r="G17" s="19">
        <v>4</v>
      </c>
      <c r="H17" s="19">
        <v>3</v>
      </c>
      <c r="I17" s="19">
        <v>5</v>
      </c>
      <c r="J17" s="19">
        <v>3</v>
      </c>
      <c r="K17" s="19">
        <v>3</v>
      </c>
      <c r="L17" s="19">
        <v>4</v>
      </c>
      <c r="M17" s="23">
        <v>3</v>
      </c>
    </row>
    <row r="18" spans="1:13" x14ac:dyDescent="0.2">
      <c r="A18" s="18" t="s">
        <v>54</v>
      </c>
      <c r="B18" s="18" t="s">
        <v>17</v>
      </c>
      <c r="C18" s="18" t="s">
        <v>23</v>
      </c>
      <c r="D18" s="18">
        <v>3</v>
      </c>
      <c r="E18" s="18">
        <v>4</v>
      </c>
      <c r="F18" s="18">
        <v>4</v>
      </c>
      <c r="G18" s="18">
        <v>3</v>
      </c>
      <c r="H18" s="18">
        <v>4</v>
      </c>
      <c r="I18" s="18">
        <v>4</v>
      </c>
      <c r="J18" s="18">
        <v>4</v>
      </c>
      <c r="K18" s="18">
        <v>4</v>
      </c>
      <c r="L18" s="18">
        <v>4</v>
      </c>
      <c r="M18" s="22">
        <v>4</v>
      </c>
    </row>
    <row r="19" spans="1:13" x14ac:dyDescent="0.2">
      <c r="A19" s="19" t="s">
        <v>55</v>
      </c>
      <c r="B19" s="19" t="s">
        <v>17</v>
      </c>
      <c r="C19" s="19" t="s">
        <v>23</v>
      </c>
      <c r="D19" s="19">
        <v>4</v>
      </c>
      <c r="E19" s="19">
        <v>4</v>
      </c>
      <c r="F19" s="19">
        <v>4</v>
      </c>
      <c r="G19" s="19">
        <v>3</v>
      </c>
      <c r="H19" s="19">
        <v>4</v>
      </c>
      <c r="I19" s="19">
        <v>3</v>
      </c>
      <c r="J19" s="19">
        <v>4</v>
      </c>
      <c r="K19" s="19">
        <v>4</v>
      </c>
      <c r="L19" s="19">
        <v>4</v>
      </c>
      <c r="M19" s="23">
        <v>3</v>
      </c>
    </row>
    <row r="20" spans="1:13" x14ac:dyDescent="0.2">
      <c r="A20" s="18" t="s">
        <v>56</v>
      </c>
      <c r="B20" s="18" t="s">
        <v>17</v>
      </c>
      <c r="C20" s="18" t="s">
        <v>23</v>
      </c>
      <c r="D20" s="18">
        <v>5</v>
      </c>
      <c r="E20" s="18">
        <v>5</v>
      </c>
      <c r="F20" s="18">
        <v>5</v>
      </c>
      <c r="G20" s="18">
        <v>5</v>
      </c>
      <c r="H20" s="18">
        <v>5</v>
      </c>
      <c r="I20" s="18">
        <v>4</v>
      </c>
      <c r="J20" s="18">
        <v>4</v>
      </c>
      <c r="K20" s="18">
        <v>4</v>
      </c>
      <c r="L20" s="18">
        <v>5</v>
      </c>
      <c r="M20" s="22">
        <v>5</v>
      </c>
    </row>
    <row r="21" spans="1:13" x14ac:dyDescent="0.2">
      <c r="A21" s="19" t="s">
        <v>57</v>
      </c>
      <c r="B21" s="19" t="s">
        <v>17</v>
      </c>
      <c r="C21" s="19" t="s">
        <v>58</v>
      </c>
      <c r="D21" s="19">
        <v>4</v>
      </c>
      <c r="E21" s="19">
        <v>4</v>
      </c>
      <c r="F21" s="19">
        <v>3</v>
      </c>
      <c r="G21" s="19">
        <v>4</v>
      </c>
      <c r="H21" s="19">
        <v>3</v>
      </c>
      <c r="I21" s="19">
        <v>3</v>
      </c>
      <c r="J21" s="19">
        <v>3</v>
      </c>
      <c r="K21" s="19">
        <v>3</v>
      </c>
      <c r="L21" s="19">
        <v>4</v>
      </c>
      <c r="M21" s="23">
        <v>3</v>
      </c>
    </row>
    <row r="22" spans="1:13" x14ac:dyDescent="0.2">
      <c r="A22" s="18" t="s">
        <v>59</v>
      </c>
      <c r="B22" s="18" t="s">
        <v>17</v>
      </c>
      <c r="C22" s="18" t="s">
        <v>23</v>
      </c>
      <c r="D22" s="18">
        <v>4</v>
      </c>
      <c r="E22" s="18">
        <v>5</v>
      </c>
      <c r="F22" s="18">
        <v>3</v>
      </c>
      <c r="G22" s="18">
        <v>3</v>
      </c>
      <c r="H22" s="18">
        <v>3</v>
      </c>
      <c r="I22" s="18">
        <v>4</v>
      </c>
      <c r="J22" s="18">
        <v>4</v>
      </c>
      <c r="K22" s="18">
        <v>4</v>
      </c>
      <c r="L22" s="18">
        <v>4</v>
      </c>
      <c r="M22" s="22">
        <v>3</v>
      </c>
    </row>
    <row r="23" spans="1:13" x14ac:dyDescent="0.2">
      <c r="A23" s="19" t="s">
        <v>63</v>
      </c>
      <c r="B23" s="19" t="s">
        <v>17</v>
      </c>
      <c r="C23" s="19" t="s">
        <v>23</v>
      </c>
      <c r="D23" s="19">
        <v>3</v>
      </c>
      <c r="E23" s="19">
        <v>3</v>
      </c>
      <c r="F23" s="19">
        <v>2</v>
      </c>
      <c r="G23" s="19">
        <v>3</v>
      </c>
      <c r="H23" s="19">
        <v>4</v>
      </c>
      <c r="I23" s="19">
        <v>4</v>
      </c>
      <c r="J23" s="19">
        <v>4</v>
      </c>
      <c r="K23" s="19">
        <v>3</v>
      </c>
      <c r="L23" s="19">
        <v>3</v>
      </c>
      <c r="M23" s="23">
        <v>3</v>
      </c>
    </row>
    <row r="24" spans="1:13" x14ac:dyDescent="0.2">
      <c r="A24" s="18" t="s">
        <v>65</v>
      </c>
      <c r="B24" s="18" t="s">
        <v>17</v>
      </c>
      <c r="C24" s="18" t="s">
        <v>53</v>
      </c>
      <c r="D24" s="18">
        <v>3</v>
      </c>
      <c r="E24" s="18">
        <v>4</v>
      </c>
      <c r="F24" s="18">
        <v>4</v>
      </c>
      <c r="G24" s="18">
        <v>4</v>
      </c>
      <c r="H24" s="18">
        <v>4</v>
      </c>
      <c r="I24" s="18">
        <v>4</v>
      </c>
      <c r="J24" s="18">
        <v>4</v>
      </c>
      <c r="K24" s="18">
        <v>4</v>
      </c>
      <c r="L24" s="18">
        <v>4</v>
      </c>
      <c r="M24" s="22">
        <v>4</v>
      </c>
    </row>
    <row r="25" spans="1:13" x14ac:dyDescent="0.2">
      <c r="A25" s="19" t="s">
        <v>66</v>
      </c>
      <c r="B25" s="19" t="s">
        <v>17</v>
      </c>
      <c r="C25" s="19" t="s">
        <v>18</v>
      </c>
      <c r="D25" s="19">
        <v>3</v>
      </c>
      <c r="E25" s="19">
        <v>4</v>
      </c>
      <c r="F25" s="19">
        <v>3</v>
      </c>
      <c r="G25" s="19">
        <v>3</v>
      </c>
      <c r="H25" s="19">
        <v>3</v>
      </c>
      <c r="I25" s="19">
        <v>3</v>
      </c>
      <c r="J25" s="19">
        <v>4</v>
      </c>
      <c r="K25" s="19">
        <v>3</v>
      </c>
      <c r="L25" s="19">
        <v>3</v>
      </c>
      <c r="M25" s="23">
        <v>3</v>
      </c>
    </row>
    <row r="26" spans="1:13" x14ac:dyDescent="0.2">
      <c r="A26" s="18" t="s">
        <v>67</v>
      </c>
      <c r="B26" s="18" t="s">
        <v>17</v>
      </c>
      <c r="C26" s="18" t="s">
        <v>68</v>
      </c>
      <c r="D26" s="18">
        <v>3</v>
      </c>
      <c r="E26" s="18">
        <v>4</v>
      </c>
      <c r="F26" s="18">
        <v>3</v>
      </c>
      <c r="G26" s="18">
        <v>4</v>
      </c>
      <c r="H26" s="18">
        <v>3</v>
      </c>
      <c r="I26" s="18">
        <v>3</v>
      </c>
      <c r="J26" s="18">
        <v>4</v>
      </c>
      <c r="K26" s="18">
        <v>4</v>
      </c>
      <c r="L26" s="18">
        <v>4</v>
      </c>
      <c r="M26" s="22">
        <v>4</v>
      </c>
    </row>
    <row r="27" spans="1:13" x14ac:dyDescent="0.2">
      <c r="A27" s="19" t="s">
        <v>69</v>
      </c>
      <c r="B27" s="19" t="s">
        <v>26</v>
      </c>
      <c r="C27" s="19" t="s">
        <v>53</v>
      </c>
      <c r="D27" s="19">
        <v>3</v>
      </c>
      <c r="E27" s="19">
        <v>2</v>
      </c>
      <c r="F27" s="19">
        <v>3</v>
      </c>
      <c r="G27" s="19">
        <v>4</v>
      </c>
      <c r="H27" s="19">
        <v>3</v>
      </c>
      <c r="I27" s="19">
        <v>2</v>
      </c>
      <c r="J27" s="19">
        <v>3</v>
      </c>
      <c r="K27" s="19">
        <v>4</v>
      </c>
      <c r="L27" s="19">
        <v>3</v>
      </c>
      <c r="M27" s="23">
        <v>2</v>
      </c>
    </row>
    <row r="28" spans="1:13" x14ac:dyDescent="0.2">
      <c r="A28" s="18" t="s">
        <v>70</v>
      </c>
      <c r="B28" s="18" t="s">
        <v>17</v>
      </c>
      <c r="C28" s="18" t="s">
        <v>58</v>
      </c>
      <c r="D28" s="18">
        <v>4</v>
      </c>
      <c r="E28" s="18">
        <v>4</v>
      </c>
      <c r="F28" s="18">
        <v>1</v>
      </c>
      <c r="G28" s="18">
        <v>4</v>
      </c>
      <c r="H28" s="18">
        <v>5</v>
      </c>
      <c r="I28" s="18">
        <v>3</v>
      </c>
      <c r="J28" s="18">
        <v>3</v>
      </c>
      <c r="K28" s="18">
        <v>4</v>
      </c>
      <c r="L28" s="18">
        <v>3</v>
      </c>
      <c r="M28" s="22">
        <v>3</v>
      </c>
    </row>
    <row r="29" spans="1:13" x14ac:dyDescent="0.2">
      <c r="A29" s="19" t="s">
        <v>71</v>
      </c>
      <c r="B29" s="19" t="s">
        <v>17</v>
      </c>
      <c r="C29" s="19" t="s">
        <v>18</v>
      </c>
      <c r="D29" s="19">
        <v>3</v>
      </c>
      <c r="E29" s="19">
        <v>4</v>
      </c>
      <c r="F29" s="19">
        <v>3</v>
      </c>
      <c r="G29" s="19">
        <v>3</v>
      </c>
      <c r="H29" s="19">
        <v>3</v>
      </c>
      <c r="I29" s="19">
        <v>3</v>
      </c>
      <c r="J29" s="19">
        <v>3</v>
      </c>
      <c r="K29" s="19">
        <v>3</v>
      </c>
      <c r="L29" s="19">
        <v>3</v>
      </c>
      <c r="M29" s="23">
        <v>3</v>
      </c>
    </row>
    <row r="30" spans="1:13" x14ac:dyDescent="0.2">
      <c r="A30" s="18" t="s">
        <v>72</v>
      </c>
      <c r="B30" s="18" t="s">
        <v>17</v>
      </c>
      <c r="C30" s="18" t="s">
        <v>23</v>
      </c>
      <c r="D30" s="18">
        <v>4</v>
      </c>
      <c r="E30" s="18">
        <v>5</v>
      </c>
      <c r="F30" s="18">
        <v>3</v>
      </c>
      <c r="G30" s="18">
        <v>3</v>
      </c>
      <c r="H30" s="18">
        <v>4</v>
      </c>
      <c r="I30" s="18">
        <v>4</v>
      </c>
      <c r="J30" s="18">
        <v>5</v>
      </c>
      <c r="K30" s="18">
        <v>5</v>
      </c>
      <c r="L30" s="18">
        <v>5</v>
      </c>
      <c r="M30" s="22">
        <v>5</v>
      </c>
    </row>
    <row r="31" spans="1:13" x14ac:dyDescent="0.2">
      <c r="A31" s="19" t="s">
        <v>73</v>
      </c>
      <c r="B31" s="19" t="s">
        <v>17</v>
      </c>
      <c r="C31" s="19" t="s">
        <v>23</v>
      </c>
      <c r="D31" s="19">
        <v>3</v>
      </c>
      <c r="E31" s="19">
        <v>4</v>
      </c>
      <c r="F31" s="19">
        <v>3</v>
      </c>
      <c r="G31" s="19">
        <v>4</v>
      </c>
      <c r="H31" s="19">
        <v>5</v>
      </c>
      <c r="I31" s="19">
        <v>4</v>
      </c>
      <c r="J31" s="19">
        <v>4</v>
      </c>
      <c r="K31" s="19">
        <v>3</v>
      </c>
      <c r="L31" s="19">
        <v>3</v>
      </c>
      <c r="M31" s="23">
        <v>4</v>
      </c>
    </row>
    <row r="32" spans="1:13" x14ac:dyDescent="0.2">
      <c r="A32" s="18" t="s">
        <v>74</v>
      </c>
      <c r="B32" s="18" t="s">
        <v>17</v>
      </c>
      <c r="C32" s="18" t="s">
        <v>75</v>
      </c>
      <c r="D32" s="18">
        <v>4</v>
      </c>
      <c r="E32" s="18">
        <v>4</v>
      </c>
      <c r="F32" s="18">
        <v>4</v>
      </c>
      <c r="G32" s="18">
        <v>4</v>
      </c>
      <c r="H32" s="18">
        <v>4</v>
      </c>
      <c r="I32" s="18">
        <v>4</v>
      </c>
      <c r="J32" s="18">
        <v>4</v>
      </c>
      <c r="K32" s="18">
        <v>4</v>
      </c>
      <c r="L32" s="18">
        <v>4</v>
      </c>
      <c r="M32" s="22">
        <v>4</v>
      </c>
    </row>
    <row r="33" spans="1:13" x14ac:dyDescent="0.2">
      <c r="A33" s="20" t="s">
        <v>76</v>
      </c>
      <c r="B33" s="20" t="s">
        <v>17</v>
      </c>
      <c r="C33" s="20" t="s">
        <v>18</v>
      </c>
      <c r="D33" s="20">
        <v>4</v>
      </c>
      <c r="E33" s="20">
        <v>4</v>
      </c>
      <c r="F33" s="20">
        <v>4</v>
      </c>
      <c r="G33" s="20">
        <v>4</v>
      </c>
      <c r="H33" s="20">
        <v>5</v>
      </c>
      <c r="I33" s="20">
        <v>5</v>
      </c>
      <c r="J33" s="20">
        <v>4</v>
      </c>
      <c r="K33" s="20">
        <v>4</v>
      </c>
      <c r="L33" s="20">
        <v>5</v>
      </c>
      <c r="M33" s="2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79E0-DD67-463A-A1E2-E4B08ED78E06}">
  <dimension ref="A1:AD40"/>
  <sheetViews>
    <sheetView tabSelected="1" zoomScale="78" zoomScaleNormal="85" workbookViewId="0">
      <selection activeCell="I56" sqref="I56"/>
    </sheetView>
  </sheetViews>
  <sheetFormatPr defaultRowHeight="12.75" x14ac:dyDescent="0.2"/>
  <cols>
    <col min="1" max="1" width="26.85546875" customWidth="1"/>
    <col min="2" max="2" width="13" customWidth="1"/>
    <col min="11" max="11" width="80" customWidth="1"/>
    <col min="13" max="13" width="23.28515625" customWidth="1"/>
    <col min="25" max="25" width="18" customWidth="1"/>
    <col min="28" max="29" width="18" customWidth="1"/>
  </cols>
  <sheetData>
    <row r="1" spans="1:30" x14ac:dyDescent="0.2">
      <c r="A1" s="10" t="s">
        <v>1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3" t="s">
        <v>77</v>
      </c>
      <c r="M1" s="12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30" x14ac:dyDescent="0.2">
      <c r="A2" s="4" t="s">
        <v>16</v>
      </c>
      <c r="B2" s="6">
        <v>4</v>
      </c>
      <c r="C2" s="6">
        <v>4</v>
      </c>
      <c r="D2" s="6">
        <v>3</v>
      </c>
      <c r="E2" s="6">
        <v>3</v>
      </c>
      <c r="F2" s="6">
        <v>4</v>
      </c>
      <c r="G2" s="6">
        <v>4</v>
      </c>
      <c r="H2" s="6">
        <v>4</v>
      </c>
      <c r="I2" s="6">
        <v>3</v>
      </c>
      <c r="J2" s="6">
        <v>4</v>
      </c>
      <c r="K2" s="6">
        <v>3</v>
      </c>
      <c r="L2" s="7">
        <f>SUM(B2:K2)</f>
        <v>36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Y2" s="9" t="s">
        <v>2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</row>
    <row r="3" spans="1:30" x14ac:dyDescent="0.2">
      <c r="A3" s="5" t="s">
        <v>20</v>
      </c>
      <c r="B3" s="8">
        <v>4</v>
      </c>
      <c r="C3" s="8">
        <v>5</v>
      </c>
      <c r="D3" s="8">
        <v>5</v>
      </c>
      <c r="E3" s="8">
        <v>3</v>
      </c>
      <c r="F3" s="8">
        <v>5</v>
      </c>
      <c r="G3" s="8">
        <v>3</v>
      </c>
      <c r="H3" s="8">
        <v>4</v>
      </c>
      <c r="I3" s="8">
        <v>4</v>
      </c>
      <c r="J3" s="8">
        <v>4</v>
      </c>
      <c r="K3" s="8">
        <v>4</v>
      </c>
      <c r="L3" s="7">
        <f>SUM(B3:K3)</f>
        <v>41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Y3" s="9" t="s">
        <v>26</v>
      </c>
      <c r="Z3" s="9">
        <v>30</v>
      </c>
      <c r="AA3" s="9">
        <v>7</v>
      </c>
      <c r="AB3" s="9">
        <f>Z3/Z5</f>
        <v>0.19480519480519481</v>
      </c>
      <c r="AC3" s="9">
        <f>AA3/AA5</f>
        <v>0.21875</v>
      </c>
      <c r="AD3" s="9">
        <f>AB3/AC3</f>
        <v>0.89053803339517634</v>
      </c>
    </row>
    <row r="4" spans="1:30" x14ac:dyDescent="0.2">
      <c r="A4" s="4" t="s">
        <v>22</v>
      </c>
      <c r="B4" s="6">
        <v>4</v>
      </c>
      <c r="C4" s="6">
        <v>4</v>
      </c>
      <c r="D4" s="6">
        <v>4</v>
      </c>
      <c r="E4" s="6">
        <v>4</v>
      </c>
      <c r="F4" s="6">
        <v>4</v>
      </c>
      <c r="G4" s="6">
        <v>3</v>
      </c>
      <c r="H4" s="6">
        <v>5</v>
      </c>
      <c r="I4" s="6">
        <v>4</v>
      </c>
      <c r="J4" s="6">
        <v>5</v>
      </c>
      <c r="K4" s="6">
        <v>4</v>
      </c>
      <c r="L4" s="7">
        <f>SUM(B4:K4)</f>
        <v>41</v>
      </c>
      <c r="M4" s="15"/>
      <c r="N4" s="15"/>
      <c r="O4" s="15"/>
      <c r="P4" s="15"/>
      <c r="Q4" s="15"/>
      <c r="R4" s="15"/>
      <c r="S4" s="15"/>
      <c r="T4" s="14"/>
      <c r="U4" s="15"/>
      <c r="V4" s="15"/>
      <c r="W4" s="15"/>
      <c r="Y4" s="9" t="s">
        <v>17</v>
      </c>
      <c r="Z4" s="9">
        <v>124</v>
      </c>
      <c r="AA4" s="9">
        <v>25</v>
      </c>
      <c r="AB4" s="9">
        <f>Z4/Z5</f>
        <v>0.80519480519480524</v>
      </c>
      <c r="AC4" s="9">
        <f>AA4/AA5</f>
        <v>0.78125</v>
      </c>
      <c r="AD4" s="9">
        <f>AB4/AC4</f>
        <v>1.0306493506493508</v>
      </c>
    </row>
    <row r="5" spans="1:30" x14ac:dyDescent="0.2">
      <c r="A5" s="5" t="s">
        <v>25</v>
      </c>
      <c r="B5" s="8">
        <v>5</v>
      </c>
      <c r="C5" s="8">
        <v>4</v>
      </c>
      <c r="D5" s="8">
        <v>3</v>
      </c>
      <c r="E5" s="8">
        <v>5</v>
      </c>
      <c r="F5" s="8">
        <v>4</v>
      </c>
      <c r="G5" s="8">
        <v>4</v>
      </c>
      <c r="H5" s="8">
        <v>5</v>
      </c>
      <c r="I5" s="8">
        <v>5</v>
      </c>
      <c r="J5" s="8">
        <v>5</v>
      </c>
      <c r="K5" s="8">
        <v>5</v>
      </c>
      <c r="L5" s="7">
        <f t="shared" ref="L5:L33" si="0">SUM(B5:K5)</f>
        <v>45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Y5" s="9" t="s">
        <v>77</v>
      </c>
      <c r="Z5" s="9">
        <f>SUM(Z3:Z4)</f>
        <v>154</v>
      </c>
      <c r="AA5" s="9">
        <f>SUM(AA3:AA4)</f>
        <v>32</v>
      </c>
      <c r="AB5" s="9"/>
      <c r="AC5" s="9"/>
      <c r="AD5" s="9"/>
    </row>
    <row r="6" spans="1:30" x14ac:dyDescent="0.2">
      <c r="A6" s="4" t="s">
        <v>27</v>
      </c>
      <c r="B6" s="6">
        <v>3</v>
      </c>
      <c r="C6" s="6">
        <v>4</v>
      </c>
      <c r="D6" s="6">
        <v>5</v>
      </c>
      <c r="E6" s="6">
        <v>5</v>
      </c>
      <c r="F6" s="6">
        <v>4</v>
      </c>
      <c r="G6" s="6">
        <v>2</v>
      </c>
      <c r="H6" s="6">
        <v>4</v>
      </c>
      <c r="I6" s="6">
        <v>4</v>
      </c>
      <c r="J6" s="6">
        <v>5</v>
      </c>
      <c r="K6" s="6">
        <v>5</v>
      </c>
      <c r="L6" s="7">
        <f t="shared" si="0"/>
        <v>41</v>
      </c>
    </row>
    <row r="7" spans="1:30" x14ac:dyDescent="0.2">
      <c r="A7" s="5" t="s">
        <v>28</v>
      </c>
      <c r="B7" s="8">
        <v>3</v>
      </c>
      <c r="C7" s="8">
        <v>3</v>
      </c>
      <c r="D7" s="8">
        <v>1</v>
      </c>
      <c r="E7" s="8">
        <v>3</v>
      </c>
      <c r="F7" s="8">
        <v>4</v>
      </c>
      <c r="G7" s="8">
        <v>2</v>
      </c>
      <c r="H7" s="8">
        <v>3</v>
      </c>
      <c r="I7" s="8">
        <v>3</v>
      </c>
      <c r="J7" s="8">
        <v>3</v>
      </c>
      <c r="K7" s="8">
        <v>3</v>
      </c>
      <c r="L7" s="7">
        <f t="shared" si="0"/>
        <v>28</v>
      </c>
    </row>
    <row r="8" spans="1:30" x14ac:dyDescent="0.2">
      <c r="A8" s="4" t="s">
        <v>29</v>
      </c>
      <c r="B8" s="6">
        <v>3</v>
      </c>
      <c r="C8" s="6">
        <v>4</v>
      </c>
      <c r="D8" s="6">
        <v>3</v>
      </c>
      <c r="E8" s="6">
        <v>3</v>
      </c>
      <c r="F8" s="6">
        <v>4</v>
      </c>
      <c r="G8" s="6">
        <v>3</v>
      </c>
      <c r="H8" s="6">
        <v>3</v>
      </c>
      <c r="I8" s="6">
        <v>3</v>
      </c>
      <c r="J8" s="6">
        <v>3</v>
      </c>
      <c r="K8" s="6">
        <v>3</v>
      </c>
      <c r="L8" s="7">
        <f t="shared" si="0"/>
        <v>32</v>
      </c>
    </row>
    <row r="9" spans="1:30" x14ac:dyDescent="0.2">
      <c r="A9" s="5" t="s">
        <v>34</v>
      </c>
      <c r="B9" s="8">
        <v>4</v>
      </c>
      <c r="C9" s="8">
        <v>4</v>
      </c>
      <c r="D9" s="8">
        <v>3</v>
      </c>
      <c r="E9" s="8">
        <v>4</v>
      </c>
      <c r="F9" s="8">
        <v>4</v>
      </c>
      <c r="G9" s="8">
        <v>4</v>
      </c>
      <c r="H9" s="8">
        <v>4</v>
      </c>
      <c r="I9" s="8">
        <v>3</v>
      </c>
      <c r="J9" s="8">
        <v>4</v>
      </c>
      <c r="K9" s="8">
        <v>4</v>
      </c>
      <c r="L9" s="7">
        <f t="shared" si="0"/>
        <v>38</v>
      </c>
    </row>
    <row r="10" spans="1:30" x14ac:dyDescent="0.2">
      <c r="A10" s="4" t="s">
        <v>39</v>
      </c>
      <c r="B10" s="6">
        <v>3</v>
      </c>
      <c r="C10" s="6">
        <v>3</v>
      </c>
      <c r="D10" s="6">
        <v>3</v>
      </c>
      <c r="E10" s="6">
        <v>2</v>
      </c>
      <c r="F10" s="6">
        <v>3</v>
      </c>
      <c r="G10" s="6">
        <v>2</v>
      </c>
      <c r="H10" s="6">
        <v>3</v>
      </c>
      <c r="I10" s="6">
        <v>3</v>
      </c>
      <c r="J10" s="6">
        <v>3</v>
      </c>
      <c r="K10" s="6">
        <v>3</v>
      </c>
      <c r="L10" s="7">
        <f t="shared" si="0"/>
        <v>28</v>
      </c>
    </row>
    <row r="11" spans="1:30" x14ac:dyDescent="0.2">
      <c r="A11" s="5" t="s">
        <v>41</v>
      </c>
      <c r="B11" s="8">
        <v>4</v>
      </c>
      <c r="C11" s="8">
        <v>4</v>
      </c>
      <c r="D11" s="8">
        <v>3</v>
      </c>
      <c r="E11" s="8">
        <v>3</v>
      </c>
      <c r="F11" s="8">
        <v>3</v>
      </c>
      <c r="G11" s="8">
        <v>4</v>
      </c>
      <c r="H11" s="8">
        <v>3</v>
      </c>
      <c r="I11" s="8">
        <v>3</v>
      </c>
      <c r="J11" s="8">
        <v>3</v>
      </c>
      <c r="K11" s="8">
        <v>3</v>
      </c>
      <c r="L11" s="7">
        <f t="shared" si="0"/>
        <v>33</v>
      </c>
    </row>
    <row r="12" spans="1:30" x14ac:dyDescent="0.2">
      <c r="A12" s="4" t="s">
        <v>42</v>
      </c>
      <c r="B12" s="6">
        <v>2</v>
      </c>
      <c r="C12" s="6">
        <v>4</v>
      </c>
      <c r="D12" s="6">
        <v>4</v>
      </c>
      <c r="E12" s="6">
        <v>5</v>
      </c>
      <c r="F12" s="6">
        <v>4</v>
      </c>
      <c r="G12" s="6">
        <v>4</v>
      </c>
      <c r="H12" s="6">
        <v>4</v>
      </c>
      <c r="I12" s="6">
        <v>4</v>
      </c>
      <c r="J12" s="6">
        <v>4</v>
      </c>
      <c r="K12" s="6">
        <v>4</v>
      </c>
      <c r="L12" s="7">
        <f t="shared" si="0"/>
        <v>39</v>
      </c>
    </row>
    <row r="13" spans="1:30" x14ac:dyDescent="0.2">
      <c r="A13" s="5" t="s">
        <v>43</v>
      </c>
      <c r="B13" s="8">
        <v>5</v>
      </c>
      <c r="C13" s="8">
        <v>3</v>
      </c>
      <c r="D13" s="8">
        <v>3</v>
      </c>
      <c r="E13" s="8">
        <v>4</v>
      </c>
      <c r="F13" s="8">
        <v>4</v>
      </c>
      <c r="G13" s="8">
        <v>3</v>
      </c>
      <c r="H13" s="8">
        <v>4</v>
      </c>
      <c r="I13" s="8">
        <v>3</v>
      </c>
      <c r="J13" s="8">
        <v>4</v>
      </c>
      <c r="K13" s="8">
        <v>4</v>
      </c>
      <c r="L13" s="7">
        <f t="shared" si="0"/>
        <v>37</v>
      </c>
    </row>
    <row r="14" spans="1:30" x14ac:dyDescent="0.2">
      <c r="A14" s="4" t="s">
        <v>45</v>
      </c>
      <c r="B14" s="6">
        <v>4</v>
      </c>
      <c r="C14" s="6">
        <v>4</v>
      </c>
      <c r="D14" s="6">
        <v>3</v>
      </c>
      <c r="E14" s="6">
        <v>4</v>
      </c>
      <c r="F14" s="6">
        <v>5</v>
      </c>
      <c r="G14" s="6">
        <v>4</v>
      </c>
      <c r="H14" s="6">
        <v>4</v>
      </c>
      <c r="I14" s="6">
        <v>4</v>
      </c>
      <c r="J14" s="6">
        <v>5</v>
      </c>
      <c r="K14" s="6">
        <v>4</v>
      </c>
      <c r="L14" s="7">
        <f t="shared" si="0"/>
        <v>41</v>
      </c>
    </row>
    <row r="15" spans="1:30" x14ac:dyDescent="0.2">
      <c r="A15" s="5" t="s">
        <v>47</v>
      </c>
      <c r="B15" s="8">
        <v>3</v>
      </c>
      <c r="C15" s="8">
        <v>4</v>
      </c>
      <c r="D15" s="8">
        <v>3</v>
      </c>
      <c r="E15" s="8">
        <v>4</v>
      </c>
      <c r="F15" s="8">
        <v>4</v>
      </c>
      <c r="G15" s="8">
        <v>4</v>
      </c>
      <c r="H15" s="8">
        <v>3</v>
      </c>
      <c r="I15" s="8">
        <v>4</v>
      </c>
      <c r="J15" s="8">
        <v>4</v>
      </c>
      <c r="K15" s="8">
        <v>3</v>
      </c>
      <c r="L15" s="7">
        <f t="shared" si="0"/>
        <v>36</v>
      </c>
    </row>
    <row r="16" spans="1:30" x14ac:dyDescent="0.2">
      <c r="A16" s="4" t="s">
        <v>51</v>
      </c>
      <c r="B16" s="6">
        <v>4</v>
      </c>
      <c r="C16" s="6">
        <v>5</v>
      </c>
      <c r="D16" s="6">
        <v>4</v>
      </c>
      <c r="E16" s="6">
        <v>4</v>
      </c>
      <c r="F16" s="6">
        <v>5</v>
      </c>
      <c r="G16" s="6">
        <v>5</v>
      </c>
      <c r="H16" s="6">
        <v>4</v>
      </c>
      <c r="I16" s="6">
        <v>4</v>
      </c>
      <c r="J16" s="6">
        <v>4</v>
      </c>
      <c r="K16" s="6">
        <v>4</v>
      </c>
      <c r="L16" s="7">
        <f t="shared" si="0"/>
        <v>43</v>
      </c>
    </row>
    <row r="17" spans="1:12" x14ac:dyDescent="0.2">
      <c r="A17" s="5" t="s">
        <v>52</v>
      </c>
      <c r="B17" s="8">
        <v>2</v>
      </c>
      <c r="C17" s="8">
        <v>3</v>
      </c>
      <c r="D17" s="8">
        <v>4</v>
      </c>
      <c r="E17" s="8">
        <v>4</v>
      </c>
      <c r="F17" s="8">
        <v>3</v>
      </c>
      <c r="G17" s="8">
        <v>5</v>
      </c>
      <c r="H17" s="8">
        <v>3</v>
      </c>
      <c r="I17" s="8">
        <v>3</v>
      </c>
      <c r="J17" s="8">
        <v>4</v>
      </c>
      <c r="K17" s="8">
        <v>3</v>
      </c>
      <c r="L17" s="7">
        <f t="shared" si="0"/>
        <v>34</v>
      </c>
    </row>
    <row r="18" spans="1:12" x14ac:dyDescent="0.2">
      <c r="A18" s="4" t="s">
        <v>54</v>
      </c>
      <c r="B18" s="6">
        <v>3</v>
      </c>
      <c r="C18" s="6">
        <v>4</v>
      </c>
      <c r="D18" s="6">
        <v>4</v>
      </c>
      <c r="E18" s="6">
        <v>3</v>
      </c>
      <c r="F18" s="6">
        <v>4</v>
      </c>
      <c r="G18" s="6">
        <v>4</v>
      </c>
      <c r="H18" s="6">
        <v>4</v>
      </c>
      <c r="I18" s="6">
        <v>4</v>
      </c>
      <c r="J18" s="6">
        <v>4</v>
      </c>
      <c r="K18" s="6">
        <v>4</v>
      </c>
      <c r="L18" s="7">
        <f t="shared" si="0"/>
        <v>38</v>
      </c>
    </row>
    <row r="19" spans="1:12" x14ac:dyDescent="0.2">
      <c r="A19" s="5" t="s">
        <v>55</v>
      </c>
      <c r="B19" s="8">
        <v>4</v>
      </c>
      <c r="C19" s="8">
        <v>4</v>
      </c>
      <c r="D19" s="8">
        <v>4</v>
      </c>
      <c r="E19" s="8">
        <v>3</v>
      </c>
      <c r="F19" s="8">
        <v>4</v>
      </c>
      <c r="G19" s="8">
        <v>3</v>
      </c>
      <c r="H19" s="8">
        <v>4</v>
      </c>
      <c r="I19" s="8">
        <v>4</v>
      </c>
      <c r="J19" s="8">
        <v>4</v>
      </c>
      <c r="K19" s="8">
        <v>3</v>
      </c>
      <c r="L19" s="7">
        <f t="shared" si="0"/>
        <v>37</v>
      </c>
    </row>
    <row r="20" spans="1:12" x14ac:dyDescent="0.2">
      <c r="A20" s="4" t="s">
        <v>56</v>
      </c>
      <c r="B20" s="6">
        <v>5</v>
      </c>
      <c r="C20" s="6">
        <v>5</v>
      </c>
      <c r="D20" s="6">
        <v>5</v>
      </c>
      <c r="E20" s="6">
        <v>5</v>
      </c>
      <c r="F20" s="6">
        <v>5</v>
      </c>
      <c r="G20" s="6">
        <v>4</v>
      </c>
      <c r="H20" s="6">
        <v>4</v>
      </c>
      <c r="I20" s="6">
        <v>4</v>
      </c>
      <c r="J20" s="6">
        <v>5</v>
      </c>
      <c r="K20" s="6">
        <v>5</v>
      </c>
      <c r="L20" s="7">
        <f t="shared" si="0"/>
        <v>47</v>
      </c>
    </row>
    <row r="21" spans="1:12" x14ac:dyDescent="0.2">
      <c r="A21" s="5" t="s">
        <v>57</v>
      </c>
      <c r="B21" s="8">
        <v>4</v>
      </c>
      <c r="C21" s="8">
        <v>4</v>
      </c>
      <c r="D21" s="8">
        <v>3</v>
      </c>
      <c r="E21" s="8">
        <v>4</v>
      </c>
      <c r="F21" s="8">
        <v>3</v>
      </c>
      <c r="G21" s="8">
        <v>3</v>
      </c>
      <c r="H21" s="8">
        <v>3</v>
      </c>
      <c r="I21" s="8">
        <v>3</v>
      </c>
      <c r="J21" s="8">
        <v>4</v>
      </c>
      <c r="K21" s="8">
        <v>3</v>
      </c>
      <c r="L21" s="7">
        <f t="shared" si="0"/>
        <v>34</v>
      </c>
    </row>
    <row r="22" spans="1:12" x14ac:dyDescent="0.2">
      <c r="A22" s="4" t="s">
        <v>59</v>
      </c>
      <c r="B22" s="6">
        <v>4</v>
      </c>
      <c r="C22" s="6">
        <v>5</v>
      </c>
      <c r="D22" s="6">
        <v>3</v>
      </c>
      <c r="E22" s="6">
        <v>3</v>
      </c>
      <c r="F22" s="6">
        <v>3</v>
      </c>
      <c r="G22" s="6">
        <v>4</v>
      </c>
      <c r="H22" s="6">
        <v>4</v>
      </c>
      <c r="I22" s="6">
        <v>4</v>
      </c>
      <c r="J22" s="6">
        <v>4</v>
      </c>
      <c r="K22" s="6">
        <v>3</v>
      </c>
      <c r="L22" s="7">
        <f t="shared" si="0"/>
        <v>37</v>
      </c>
    </row>
    <row r="23" spans="1:12" x14ac:dyDescent="0.2">
      <c r="A23" s="5" t="s">
        <v>63</v>
      </c>
      <c r="B23" s="8">
        <v>3</v>
      </c>
      <c r="C23" s="8">
        <v>3</v>
      </c>
      <c r="D23" s="8">
        <v>2</v>
      </c>
      <c r="E23" s="8">
        <v>3</v>
      </c>
      <c r="F23" s="8">
        <v>4</v>
      </c>
      <c r="G23" s="8">
        <v>4</v>
      </c>
      <c r="H23" s="8">
        <v>4</v>
      </c>
      <c r="I23" s="8">
        <v>3</v>
      </c>
      <c r="J23" s="8">
        <v>3</v>
      </c>
      <c r="K23" s="8">
        <v>3</v>
      </c>
      <c r="L23" s="7">
        <f t="shared" si="0"/>
        <v>32</v>
      </c>
    </row>
    <row r="24" spans="1:12" x14ac:dyDescent="0.2">
      <c r="A24" s="4" t="s">
        <v>65</v>
      </c>
      <c r="B24" s="6">
        <v>3</v>
      </c>
      <c r="C24" s="6">
        <v>4</v>
      </c>
      <c r="D24" s="6">
        <v>4</v>
      </c>
      <c r="E24" s="6">
        <v>4</v>
      </c>
      <c r="F24" s="6">
        <v>4</v>
      </c>
      <c r="G24" s="6">
        <v>4</v>
      </c>
      <c r="H24" s="6">
        <v>4</v>
      </c>
      <c r="I24" s="6">
        <v>4</v>
      </c>
      <c r="J24" s="6">
        <v>4</v>
      </c>
      <c r="K24" s="6">
        <v>4</v>
      </c>
      <c r="L24" s="7">
        <f>SUM(B24:K24)</f>
        <v>39</v>
      </c>
    </row>
    <row r="25" spans="1:12" x14ac:dyDescent="0.2">
      <c r="A25" s="5" t="s">
        <v>66</v>
      </c>
      <c r="B25" s="8">
        <v>3</v>
      </c>
      <c r="C25" s="8">
        <v>4</v>
      </c>
      <c r="D25" s="8">
        <v>3</v>
      </c>
      <c r="E25" s="8">
        <v>3</v>
      </c>
      <c r="F25" s="8">
        <v>3</v>
      </c>
      <c r="G25" s="8">
        <v>3</v>
      </c>
      <c r="H25" s="8">
        <v>4</v>
      </c>
      <c r="I25" s="8">
        <v>3</v>
      </c>
      <c r="J25" s="8">
        <v>3</v>
      </c>
      <c r="K25" s="8">
        <v>3</v>
      </c>
      <c r="L25" s="7">
        <f t="shared" si="0"/>
        <v>32</v>
      </c>
    </row>
    <row r="26" spans="1:12" x14ac:dyDescent="0.2">
      <c r="A26" s="4" t="s">
        <v>67</v>
      </c>
      <c r="B26" s="6">
        <v>3</v>
      </c>
      <c r="C26" s="6">
        <v>4</v>
      </c>
      <c r="D26" s="6">
        <v>3</v>
      </c>
      <c r="E26" s="6">
        <v>4</v>
      </c>
      <c r="F26" s="6">
        <v>3</v>
      </c>
      <c r="G26" s="6">
        <v>3</v>
      </c>
      <c r="H26" s="6">
        <v>4</v>
      </c>
      <c r="I26" s="6">
        <v>4</v>
      </c>
      <c r="J26" s="6">
        <v>4</v>
      </c>
      <c r="K26" s="6">
        <v>4</v>
      </c>
      <c r="L26" s="7">
        <f t="shared" si="0"/>
        <v>36</v>
      </c>
    </row>
    <row r="27" spans="1:12" x14ac:dyDescent="0.2">
      <c r="A27" s="5" t="s">
        <v>69</v>
      </c>
      <c r="B27" s="8">
        <v>3</v>
      </c>
      <c r="C27" s="8">
        <v>2</v>
      </c>
      <c r="D27" s="8">
        <v>3</v>
      </c>
      <c r="E27" s="8">
        <v>4</v>
      </c>
      <c r="F27" s="8">
        <v>3</v>
      </c>
      <c r="G27" s="8">
        <v>2</v>
      </c>
      <c r="H27" s="8">
        <v>3</v>
      </c>
      <c r="I27" s="8">
        <v>4</v>
      </c>
      <c r="J27" s="8">
        <v>3</v>
      </c>
      <c r="K27" s="8">
        <v>2</v>
      </c>
      <c r="L27" s="7">
        <f t="shared" si="0"/>
        <v>29</v>
      </c>
    </row>
    <row r="28" spans="1:12" x14ac:dyDescent="0.2">
      <c r="A28" s="4" t="s">
        <v>70</v>
      </c>
      <c r="B28" s="6">
        <v>4</v>
      </c>
      <c r="C28" s="6">
        <v>4</v>
      </c>
      <c r="D28" s="6">
        <v>1</v>
      </c>
      <c r="E28" s="6">
        <v>4</v>
      </c>
      <c r="F28" s="6">
        <v>5</v>
      </c>
      <c r="G28" s="6">
        <v>3</v>
      </c>
      <c r="H28" s="6">
        <v>3</v>
      </c>
      <c r="I28" s="6">
        <v>4</v>
      </c>
      <c r="J28" s="6">
        <v>3</v>
      </c>
      <c r="K28" s="6">
        <v>3</v>
      </c>
      <c r="L28" s="7">
        <f t="shared" si="0"/>
        <v>34</v>
      </c>
    </row>
    <row r="29" spans="1:12" x14ac:dyDescent="0.2">
      <c r="A29" s="5" t="s">
        <v>71</v>
      </c>
      <c r="B29" s="8">
        <v>3</v>
      </c>
      <c r="C29" s="8">
        <v>4</v>
      </c>
      <c r="D29" s="8">
        <v>3</v>
      </c>
      <c r="E29" s="8">
        <v>3</v>
      </c>
      <c r="F29" s="8">
        <v>3</v>
      </c>
      <c r="G29" s="8">
        <v>3</v>
      </c>
      <c r="H29" s="8">
        <v>3</v>
      </c>
      <c r="I29" s="8">
        <v>3</v>
      </c>
      <c r="J29" s="8">
        <v>3</v>
      </c>
      <c r="K29" s="8">
        <v>3</v>
      </c>
      <c r="L29" s="7">
        <f t="shared" si="0"/>
        <v>31</v>
      </c>
    </row>
    <row r="30" spans="1:12" x14ac:dyDescent="0.2">
      <c r="A30" s="4" t="s">
        <v>72</v>
      </c>
      <c r="B30" s="6">
        <v>4</v>
      </c>
      <c r="C30" s="6">
        <v>5</v>
      </c>
      <c r="D30" s="6">
        <v>3</v>
      </c>
      <c r="E30" s="6">
        <v>3</v>
      </c>
      <c r="F30" s="6">
        <v>4</v>
      </c>
      <c r="G30" s="6">
        <v>4</v>
      </c>
      <c r="H30" s="6">
        <v>5</v>
      </c>
      <c r="I30" s="6">
        <v>5</v>
      </c>
      <c r="J30" s="6">
        <v>5</v>
      </c>
      <c r="K30" s="6">
        <v>5</v>
      </c>
      <c r="L30" s="7">
        <f t="shared" si="0"/>
        <v>43</v>
      </c>
    </row>
    <row r="31" spans="1:12" x14ac:dyDescent="0.2">
      <c r="A31" s="5" t="s">
        <v>73</v>
      </c>
      <c r="B31" s="8">
        <v>3</v>
      </c>
      <c r="C31" s="8">
        <v>4</v>
      </c>
      <c r="D31" s="8">
        <v>3</v>
      </c>
      <c r="E31" s="8">
        <v>4</v>
      </c>
      <c r="F31" s="8">
        <v>5</v>
      </c>
      <c r="G31" s="8">
        <v>4</v>
      </c>
      <c r="H31" s="8">
        <v>4</v>
      </c>
      <c r="I31" s="8">
        <v>3</v>
      </c>
      <c r="J31" s="8">
        <v>3</v>
      </c>
      <c r="K31" s="8">
        <v>4</v>
      </c>
      <c r="L31" s="7">
        <f t="shared" si="0"/>
        <v>37</v>
      </c>
    </row>
    <row r="32" spans="1:12" x14ac:dyDescent="0.2">
      <c r="A32" s="4" t="s">
        <v>74</v>
      </c>
      <c r="B32" s="6">
        <v>4</v>
      </c>
      <c r="C32" s="6">
        <v>4</v>
      </c>
      <c r="D32" s="6">
        <v>4</v>
      </c>
      <c r="E32" s="6">
        <v>4</v>
      </c>
      <c r="F32" s="6">
        <v>4</v>
      </c>
      <c r="G32" s="6">
        <v>4</v>
      </c>
      <c r="H32" s="6">
        <v>4</v>
      </c>
      <c r="I32" s="6">
        <v>4</v>
      </c>
      <c r="J32" s="6">
        <v>4</v>
      </c>
      <c r="K32" s="6">
        <v>4</v>
      </c>
      <c r="L32" s="7">
        <f t="shared" si="0"/>
        <v>40</v>
      </c>
    </row>
    <row r="33" spans="1:12" x14ac:dyDescent="0.2">
      <c r="A33" s="5" t="s">
        <v>76</v>
      </c>
      <c r="B33" s="8">
        <v>4</v>
      </c>
      <c r="C33" s="8">
        <v>4</v>
      </c>
      <c r="D33" s="8">
        <v>4</v>
      </c>
      <c r="E33" s="8">
        <v>4</v>
      </c>
      <c r="F33" s="8">
        <v>5</v>
      </c>
      <c r="G33" s="8">
        <v>5</v>
      </c>
      <c r="H33" s="8">
        <v>4</v>
      </c>
      <c r="I33" s="8">
        <v>4</v>
      </c>
      <c r="J33" s="8">
        <v>5</v>
      </c>
      <c r="K33" s="8">
        <v>5</v>
      </c>
      <c r="L33" s="7">
        <f t="shared" si="0"/>
        <v>44</v>
      </c>
    </row>
    <row r="34" spans="1:12" x14ac:dyDescent="0.2">
      <c r="A34" s="16" t="s">
        <v>84</v>
      </c>
      <c r="B34">
        <f t="shared" ref="B34:K34" si="1">AVERAGE(B2:B33)</f>
        <v>3.5625</v>
      </c>
      <c r="C34">
        <f t="shared" si="1"/>
        <v>3.9375</v>
      </c>
      <c r="D34">
        <f t="shared" si="1"/>
        <v>3.3125</v>
      </c>
      <c r="E34">
        <f t="shared" si="1"/>
        <v>3.6875</v>
      </c>
      <c r="F34">
        <f t="shared" si="1"/>
        <v>3.9375</v>
      </c>
      <c r="G34">
        <f t="shared" si="1"/>
        <v>3.53125</v>
      </c>
      <c r="H34">
        <f t="shared" si="1"/>
        <v>3.78125</v>
      </c>
      <c r="I34">
        <f t="shared" si="1"/>
        <v>3.65625</v>
      </c>
      <c r="J34">
        <f t="shared" si="1"/>
        <v>3.90625</v>
      </c>
      <c r="K34">
        <f t="shared" si="1"/>
        <v>3.65625</v>
      </c>
    </row>
    <row r="40" spans="1:12" x14ac:dyDescent="0.2">
      <c r="K40" t="s">
        <v>83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Mentah</vt:lpstr>
      <vt:lpstr>DATA OLAH 1</vt:lpstr>
      <vt:lpstr>DATA OLAH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2026-05-15T16:58:20Z</dcterms:modified>
</cp:coreProperties>
</file>